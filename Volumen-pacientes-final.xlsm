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ia Luz\Desktop\"/>
    </mc:Choice>
  </mc:AlternateContent>
  <xr:revisionPtr revIDLastSave="0" documentId="13_ncr:1_{7F356A54-9662-4262-9B9B-4CDAA1D565A4}" xr6:coauthVersionLast="47" xr6:coauthVersionMax="47" xr10:uidLastSave="{00000000-0000-0000-0000-000000000000}"/>
  <bookViews>
    <workbookView xWindow="-120" yWindow="-120" windowWidth="20730" windowHeight="11160" tabRatio="620" xr2:uid="{00000000-000D-0000-FFFF-FFFF00000000}"/>
  </bookViews>
  <sheets>
    <sheet name="Entrada" sheetId="1" r:id="rId1"/>
    <sheet name="Pacientes" sheetId="9" r:id="rId2"/>
    <sheet name="Filtro Material" sheetId="4" r:id="rId3"/>
    <sheet name="Obra Social" sheetId="5" r:id="rId4"/>
  </sheets>
  <definedNames>
    <definedName name="SegmentaciónDeDatos_Años__FECHA_PEDIDO">#N/A</definedName>
    <definedName name="SegmentaciónDeDatos_Meses__FECHA_PEDIDO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9" l="1" a="1"/>
  <c r="B2" i="9" s="1"/>
  <c r="B2" i="4" a="1"/>
  <c r="B2" i="4" s="1"/>
  <c r="K3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<sst xmlns="http://schemas.openxmlformats.org/spreadsheetml/2006/main" count="6270" uniqueCount="1684">
  <si>
    <t>EDAD</t>
  </si>
  <si>
    <t>CIRUJANO</t>
  </si>
  <si>
    <t>CIRUGIA</t>
  </si>
  <si>
    <t>MATERIAL</t>
  </si>
  <si>
    <t>FECHA PEDIDO</t>
  </si>
  <si>
    <t>LOCALIDAD</t>
  </si>
  <si>
    <t>ORTOPEDIA</t>
  </si>
  <si>
    <t>OBRA SOCIAL</t>
  </si>
  <si>
    <t>GARCIA VITOR</t>
  </si>
  <si>
    <t>PAMI</t>
  </si>
  <si>
    <t xml:space="preserve">REY MARIA    </t>
  </si>
  <si>
    <t xml:space="preserve">REYNAGA RUBEN </t>
  </si>
  <si>
    <t xml:space="preserve">IGARTUA VICTOR </t>
  </si>
  <si>
    <t>FRANZ GERARDO</t>
  </si>
  <si>
    <t xml:space="preserve">LOPEZ MANUEL </t>
  </si>
  <si>
    <t>RUBERTO MELISA</t>
  </si>
  <si>
    <t>RESIDENTES</t>
  </si>
  <si>
    <t>STOPELLO</t>
  </si>
  <si>
    <t>MERLINI</t>
  </si>
  <si>
    <t xml:space="preserve">P. VOLAR </t>
  </si>
  <si>
    <t xml:space="preserve">PTR  DE REVISION   DER </t>
  </si>
  <si>
    <t>PTC CEMENTADA / COTILO</t>
  </si>
  <si>
    <t>PLACA DCP/CLAVIJAS</t>
  </si>
  <si>
    <t>P. DISTAL /TORN</t>
  </si>
  <si>
    <t>S/M</t>
  </si>
  <si>
    <t xml:space="preserve">FEDERACION </t>
  </si>
  <si>
    <t>FX MUÑECA</t>
  </si>
  <si>
    <t>RODILLA</t>
  </si>
  <si>
    <t xml:space="preserve">CADERA </t>
  </si>
  <si>
    <t>MANO DER</t>
  </si>
  <si>
    <t xml:space="preserve">TIBIA Y PERONE </t>
  </si>
  <si>
    <t>BALLOHORTHS ELSA</t>
  </si>
  <si>
    <t xml:space="preserve">IP MAGNA </t>
  </si>
  <si>
    <t>VILLALBA</t>
  </si>
  <si>
    <t>INICIADO</t>
  </si>
  <si>
    <t xml:space="preserve">FX TIBIA Y PERONE </t>
  </si>
  <si>
    <t>PLACA DCP/CLAVO ACERR.</t>
  </si>
  <si>
    <t>CHIA HUGO</t>
  </si>
  <si>
    <t xml:space="preserve">FX CADERA IZQ </t>
  </si>
  <si>
    <t>CLAVO GAMMA</t>
  </si>
  <si>
    <t xml:space="preserve">SANDOVAL JUAN </t>
  </si>
  <si>
    <t>DET.ACET.MASIVO</t>
  </si>
  <si>
    <t>ORTIZ MARIA E.</t>
  </si>
  <si>
    <t>COXARTROSIS</t>
  </si>
  <si>
    <t xml:space="preserve">ALBORNOZ JORGE </t>
  </si>
  <si>
    <t xml:space="preserve">VARGAS ANA MARIA </t>
  </si>
  <si>
    <t>ARTR ROD DER</t>
  </si>
  <si>
    <t xml:space="preserve">NIEVAS CARLOS </t>
  </si>
  <si>
    <t>NOGOYA</t>
  </si>
  <si>
    <t>TORNILLOS /A.KNOTLESS</t>
  </si>
  <si>
    <t>L.T.ROTULIANO</t>
  </si>
  <si>
    <t xml:space="preserve">PRADELA  FABIAN </t>
  </si>
  <si>
    <t>DETLER RICARDO</t>
  </si>
  <si>
    <t>PLACA DOBLE</t>
  </si>
  <si>
    <t>ANDERI ROCIO BELEN</t>
  </si>
  <si>
    <t xml:space="preserve">COLON </t>
  </si>
  <si>
    <t>GONARTROSIS</t>
  </si>
  <si>
    <t>PT DE ODILLA DER</t>
  </si>
  <si>
    <t xml:space="preserve">GIMENEZ MATIAS </t>
  </si>
  <si>
    <t xml:space="preserve">INICIADO </t>
  </si>
  <si>
    <t xml:space="preserve">AIMONE ANTONELA </t>
  </si>
  <si>
    <t>FX CODO</t>
  </si>
  <si>
    <t xml:space="preserve">P. ANAT. ARP. </t>
  </si>
  <si>
    <t xml:space="preserve">PTR ANATOMICA </t>
  </si>
  <si>
    <t xml:space="preserve">FIORE MERCEDES </t>
  </si>
  <si>
    <t>NUÑEZ OSCAR</t>
  </si>
  <si>
    <t>PTC NO CEMENT</t>
  </si>
  <si>
    <t xml:space="preserve">OSTEOARTRITIS </t>
  </si>
  <si>
    <t>SUAREZ M. ELENA</t>
  </si>
  <si>
    <t xml:space="preserve">MERCADO LUISA ESTER </t>
  </si>
  <si>
    <t xml:space="preserve">PTR PRIMARIA </t>
  </si>
  <si>
    <t xml:space="preserve">ABASTO GRACIELA </t>
  </si>
  <si>
    <t>ARTR ROD IZQ</t>
  </si>
  <si>
    <t>CARDOSO NILDA</t>
  </si>
  <si>
    <t>FX CADERA DER</t>
  </si>
  <si>
    <t>CLAVO DHS</t>
  </si>
  <si>
    <t xml:space="preserve">ROMERO JUANA </t>
  </si>
  <si>
    <t xml:space="preserve">CACERES MABEL </t>
  </si>
  <si>
    <t>GENU VARO</t>
  </si>
  <si>
    <t xml:space="preserve">TERSICH ERMELINDA </t>
  </si>
  <si>
    <t xml:space="preserve">PELLEGRINI DOMINGA </t>
  </si>
  <si>
    <t>PLACA TERCI TUBO</t>
  </si>
  <si>
    <t xml:space="preserve">YACUMINI JORGE </t>
  </si>
  <si>
    <t>FX ANTE BRAZO</t>
  </si>
  <si>
    <t>PLACA DCP BLOQ.</t>
  </si>
  <si>
    <t>TREPPAN RENZO</t>
  </si>
  <si>
    <t>FX CLAVICULA</t>
  </si>
  <si>
    <t>PLACA ANT. BLOQ.</t>
  </si>
  <si>
    <t>ALMADA  MARIA</t>
  </si>
  <si>
    <t xml:space="preserve">FX CADERA </t>
  </si>
  <si>
    <t xml:space="preserve">GORO MARIA </t>
  </si>
  <si>
    <t>FX HUMERO</t>
  </si>
  <si>
    <t xml:space="preserve">CLAVO ENDOM </t>
  </si>
  <si>
    <t xml:space="preserve">VALTER LEONOR </t>
  </si>
  <si>
    <t xml:space="preserve">PLACAS RECONTRUCCION </t>
  </si>
  <si>
    <t>OPERADO</t>
  </si>
  <si>
    <t xml:space="preserve">BRASESCO MIRTA </t>
  </si>
  <si>
    <t xml:space="preserve">RAU  JOAQUIN </t>
  </si>
  <si>
    <t>PLACA VOLAR</t>
  </si>
  <si>
    <t xml:space="preserve">MOLINA HECTOR </t>
  </si>
  <si>
    <t>CATRIEL GODOY</t>
  </si>
  <si>
    <t>FX RODILLA</t>
  </si>
  <si>
    <t xml:space="preserve">RAMIREZ RAMON </t>
  </si>
  <si>
    <t xml:space="preserve">WEINER M. JOSEFA </t>
  </si>
  <si>
    <t xml:space="preserve">VENTOSINOS RODOLFO </t>
  </si>
  <si>
    <t xml:space="preserve">ACOSTA SALMA DYLAN </t>
  </si>
  <si>
    <t>FX TOBILLO IZQ</t>
  </si>
  <si>
    <t xml:space="preserve">LARROSA DANIEL </t>
  </si>
  <si>
    <t xml:space="preserve">ROSELLO PATRICIA </t>
  </si>
  <si>
    <t xml:space="preserve">PLACA DOBLE </t>
  </si>
  <si>
    <t>SANCHEZ DIEGO</t>
  </si>
  <si>
    <t>VENTURI</t>
  </si>
  <si>
    <t>LCA</t>
  </si>
  <si>
    <t xml:space="preserve">BOTON/TORNILLOS </t>
  </si>
  <si>
    <t xml:space="preserve">GOMEZ  ELODIA </t>
  </si>
  <si>
    <t xml:space="preserve">RTR ANATOMICA </t>
  </si>
  <si>
    <t xml:space="preserve">GONZALEZ J. DANIEL </t>
  </si>
  <si>
    <t>AFLOJ. PROTESICO</t>
  </si>
  <si>
    <t xml:space="preserve">RTR DE REVISION </t>
  </si>
  <si>
    <t>COMAR CLARA</t>
  </si>
  <si>
    <t>YACOMO</t>
  </si>
  <si>
    <t xml:space="preserve">CENTURION LUIS </t>
  </si>
  <si>
    <t xml:space="preserve">HOLLMAN  HILARIO </t>
  </si>
  <si>
    <t xml:space="preserve">RTC CEMENTADA </t>
  </si>
  <si>
    <t xml:space="preserve">CASCO  RAMONA </t>
  </si>
  <si>
    <t>FX CADERA</t>
  </si>
  <si>
    <t xml:space="preserve">CLACO GAMMA </t>
  </si>
  <si>
    <t xml:space="preserve">CASTILLO MARGAITA </t>
  </si>
  <si>
    <t>PLACA PHILOS</t>
  </si>
  <si>
    <t xml:space="preserve">BECCHIO ELSA </t>
  </si>
  <si>
    <t xml:space="preserve">LAIMER ZELAYA GROVER </t>
  </si>
  <si>
    <t xml:space="preserve">PLACA DOBLE H. DISTAL </t>
  </si>
  <si>
    <t xml:space="preserve">DEGREGORIO STEFANO </t>
  </si>
  <si>
    <t>PLACA ANAT</t>
  </si>
  <si>
    <t>RODRIGUEZ LEONARDO</t>
  </si>
  <si>
    <t>FX ESCAFOEDES</t>
  </si>
  <si>
    <t>TORN. HERBERT</t>
  </si>
  <si>
    <t xml:space="preserve">DA SILVA MUIRIAM </t>
  </si>
  <si>
    <t>FX CODO DER</t>
  </si>
  <si>
    <t>PLACA LCP</t>
  </si>
  <si>
    <t xml:space="preserve">RIPARI SANDRA </t>
  </si>
  <si>
    <t xml:space="preserve">NARDUZZI SEBASIAN </t>
  </si>
  <si>
    <t xml:space="preserve">FX F1 MANO IZQ </t>
  </si>
  <si>
    <t xml:space="preserve">TOR- PARA FALANGES </t>
  </si>
  <si>
    <t xml:space="preserve">WEIS MARIA ESTER </t>
  </si>
  <si>
    <t>HALLUX VALGO</t>
  </si>
  <si>
    <t>PLACAS/TORNI</t>
  </si>
  <si>
    <t xml:space="preserve">ORTIZ ALICIA </t>
  </si>
  <si>
    <t xml:space="preserve">CERRITO </t>
  </si>
  <si>
    <t xml:space="preserve">GILES LUISA </t>
  </si>
  <si>
    <t>SCHWAB  ELLY</t>
  </si>
  <si>
    <t>VILLALB A</t>
  </si>
  <si>
    <t xml:space="preserve">CAFFARENA ZUNILDA </t>
  </si>
  <si>
    <t>SUKSDORF</t>
  </si>
  <si>
    <t xml:space="preserve">LCA </t>
  </si>
  <si>
    <t xml:space="preserve">TORN INTRF/BOTON </t>
  </si>
  <si>
    <t>TABOSSI</t>
  </si>
  <si>
    <t xml:space="preserve">FISCHER  ANGELICA </t>
  </si>
  <si>
    <t>GENUVARO</t>
  </si>
  <si>
    <t xml:space="preserve">VILLALBA </t>
  </si>
  <si>
    <t xml:space="preserve">YZURIETA  ADRIAN </t>
  </si>
  <si>
    <t xml:space="preserve">GIRARD ANIBAL </t>
  </si>
  <si>
    <t xml:space="preserve">HEFFELE MIRTA   </t>
  </si>
  <si>
    <t>UCEDO</t>
  </si>
  <si>
    <t xml:space="preserve">FX  DE MUÑECA </t>
  </si>
  <si>
    <t xml:space="preserve">PLACA VOLAR </t>
  </si>
  <si>
    <t xml:space="preserve">BONSI MARIA </t>
  </si>
  <si>
    <t xml:space="preserve">CLACO DHS </t>
  </si>
  <si>
    <t xml:space="preserve">MORATO JONATHAN </t>
  </si>
  <si>
    <t xml:space="preserve">PLACA ANATOMICA </t>
  </si>
  <si>
    <t xml:space="preserve">NUÑEZ OSCAR </t>
  </si>
  <si>
    <t xml:space="preserve">CLAVO ENDOM  HUMERO </t>
  </si>
  <si>
    <t xml:space="preserve">RODRIGUEZ J. CARLOS </t>
  </si>
  <si>
    <t xml:space="preserve">RUPT MANG ROT </t>
  </si>
  <si>
    <t xml:space="preserve">2 ARPONES </t>
  </si>
  <si>
    <t xml:space="preserve">LA PAZ </t>
  </si>
  <si>
    <t xml:space="preserve">DUARTE RAMONA </t>
  </si>
  <si>
    <t xml:space="preserve">RUPT MANG ROT 2 ARPONES </t>
  </si>
  <si>
    <t xml:space="preserve">PROFE </t>
  </si>
  <si>
    <t xml:space="preserve">MENDOZA JOSE </t>
  </si>
  <si>
    <t xml:space="preserve">JACOB </t>
  </si>
  <si>
    <t xml:space="preserve">ESPNDIOLITESIS </t>
  </si>
  <si>
    <t xml:space="preserve">BARRA/PLIF/DRILL/TORN </t>
  </si>
  <si>
    <t xml:space="preserve">DIAMANTE </t>
  </si>
  <si>
    <t xml:space="preserve">CUELLO ALEXANDER </t>
  </si>
  <si>
    <t xml:space="preserve">CASTILLO MARGARITA </t>
  </si>
  <si>
    <t xml:space="preserve">FERREYRA RODRIGO </t>
  </si>
  <si>
    <t xml:space="preserve">TORN/BOTON </t>
  </si>
  <si>
    <t xml:space="preserve">PORTORREAL ROSA </t>
  </si>
  <si>
    <t>VILLALVA</t>
  </si>
  <si>
    <t xml:space="preserve">FIORI MERCEDES </t>
  </si>
  <si>
    <t xml:space="preserve">TOR. HERBERT </t>
  </si>
  <si>
    <t xml:space="preserve">PEREZ ELBA </t>
  </si>
  <si>
    <t xml:space="preserve">COTDOBA DORA </t>
  </si>
  <si>
    <t xml:space="preserve">EXTR PROTESIS </t>
  </si>
  <si>
    <t>TUTOR EXTERNO</t>
  </si>
  <si>
    <t xml:space="preserve">URQUIZA MARIA </t>
  </si>
  <si>
    <t>RUP MANG ROTA</t>
  </si>
  <si>
    <t xml:space="preserve">PROT HOMB. ARPONES </t>
  </si>
  <si>
    <t xml:space="preserve">MICHELOUD AILIN </t>
  </si>
  <si>
    <t>CARDOSO ANIBAL</t>
  </si>
  <si>
    <t xml:space="preserve">FAIN MARIA </t>
  </si>
  <si>
    <t>AVILA EXEQUIEL</t>
  </si>
  <si>
    <t>PLACA DCP/PLACA T.TUBO</t>
  </si>
  <si>
    <t>ESPINDOLA LEONARDO</t>
  </si>
  <si>
    <t>VALDEZ  ANIBAL</t>
  </si>
  <si>
    <t>SANTILLAN ALFREDO</t>
  </si>
  <si>
    <t>HERNIA DE DISCO</t>
  </si>
  <si>
    <t>CAGE/DRILL/SUST OSEO</t>
  </si>
  <si>
    <t>MARDON ALVARO</t>
  </si>
  <si>
    <t>PLACA PUDDU</t>
  </si>
  <si>
    <t xml:space="preserve">RODRIGUEZ NORMA </t>
  </si>
  <si>
    <t>PLCA DOBLE/TERCIO TUBO</t>
  </si>
  <si>
    <t>RLODRIGUEZ SANTIAGO</t>
  </si>
  <si>
    <t xml:space="preserve">URANGA </t>
  </si>
  <si>
    <t xml:space="preserve">ESCOLIOSIS </t>
  </si>
  <si>
    <t>VILLAGUAY</t>
  </si>
  <si>
    <t xml:space="preserve">POT EVOC. MOTORES </t>
  </si>
  <si>
    <t xml:space="preserve">SEGOVIA MARIA </t>
  </si>
  <si>
    <t xml:space="preserve">RUP LCA </t>
  </si>
  <si>
    <t>TORN.INTERF./BOTON</t>
  </si>
  <si>
    <t xml:space="preserve">RICKERT MERCEDES </t>
  </si>
  <si>
    <t>RODRIGUEZ SANTIAGO</t>
  </si>
  <si>
    <t xml:space="preserve">MARTINEZ STELLA </t>
  </si>
  <si>
    <t xml:space="preserve">FX MUÑECA </t>
  </si>
  <si>
    <t xml:space="preserve">KUNZI L SEBASTIAN </t>
  </si>
  <si>
    <t xml:space="preserve">DE ANGELI ANGEL LUIS </t>
  </si>
  <si>
    <t xml:space="preserve">CLAVO GAMMA </t>
  </si>
  <si>
    <t xml:space="preserve">VIALE </t>
  </si>
  <si>
    <t xml:space="preserve">BUSULARI RAFAEL </t>
  </si>
  <si>
    <t xml:space="preserve">HERMIDA </t>
  </si>
  <si>
    <t>HASENKAMP</t>
  </si>
  <si>
    <t>BENITEZ NANCY</t>
  </si>
  <si>
    <t xml:space="preserve">TORNILLOS /BOTON </t>
  </si>
  <si>
    <t>GUALEGUAY</t>
  </si>
  <si>
    <t xml:space="preserve">SALUZZIO ANGELA M. CRISTINA </t>
  </si>
  <si>
    <t xml:space="preserve">MAYDANA LUIS </t>
  </si>
  <si>
    <t>MOREYRA GUSTAVO</t>
  </si>
  <si>
    <t>SEUA.INFEC</t>
  </si>
  <si>
    <t>CLAVO CEMENTADO</t>
  </si>
  <si>
    <t xml:space="preserve">DE LOS SANTOS M DEL CARMEN </t>
  </si>
  <si>
    <t xml:space="preserve">JUNCOS HECTOR </t>
  </si>
  <si>
    <t xml:space="preserve">PRP CON VASTY CUÑAS </t>
  </si>
  <si>
    <t>GENU VARO DER</t>
  </si>
  <si>
    <t>GENU VARO IZQ</t>
  </si>
  <si>
    <t>FONTANA HUMBERTO</t>
  </si>
  <si>
    <t>COLLOMB</t>
  </si>
  <si>
    <t xml:space="preserve">PENAU ROSA ESTER </t>
  </si>
  <si>
    <t>BARBOZA ABRIL</t>
  </si>
  <si>
    <t>FX CALCANEO</t>
  </si>
  <si>
    <t xml:space="preserve">PLACA LAMBDA </t>
  </si>
  <si>
    <t>MANZANO EDUARDO</t>
  </si>
  <si>
    <t>PLACA TERCI TUBO/CLAVO</t>
  </si>
  <si>
    <t xml:space="preserve">MARIA GRANDE </t>
  </si>
  <si>
    <t xml:space="preserve">GAITAN SEBASTIAN </t>
  </si>
  <si>
    <t>RUP. LCA</t>
  </si>
  <si>
    <t xml:space="preserve">ORCELLET MARTA IRMA </t>
  </si>
  <si>
    <t>FC HOMBRO</t>
  </si>
  <si>
    <t>P.PHILOS/P.HOMBRO</t>
  </si>
  <si>
    <t xml:space="preserve">MONTENEGRO TERESA </t>
  </si>
  <si>
    <t xml:space="preserve">VILLAVERDE ALICIA </t>
  </si>
  <si>
    <t xml:space="preserve">HALLUX VALGUS </t>
  </si>
  <si>
    <t>TORN  HERBERT</t>
  </si>
  <si>
    <t xml:space="preserve">ACOSTA VICTORIA </t>
  </si>
  <si>
    <t xml:space="preserve">P. CUP. RADIAL </t>
  </si>
  <si>
    <t>BATTAGLIERO ERNESTO</t>
  </si>
  <si>
    <t>SAPETTI</t>
  </si>
  <si>
    <t xml:space="preserve">VAZQUEZ MIGUEL </t>
  </si>
  <si>
    <t>MOREYRA EMILIO</t>
  </si>
  <si>
    <t>CORIA JORGE ANSELMO</t>
  </si>
  <si>
    <t xml:space="preserve">MARIZZA HECTOR LUIS </t>
  </si>
  <si>
    <t xml:space="preserve">FX PLATILLO </t>
  </si>
  <si>
    <t>PLACA T Y L</t>
  </si>
  <si>
    <t>FX TOBILLO</t>
  </si>
  <si>
    <t>PLACA TERCIO TUBO</t>
  </si>
  <si>
    <t xml:space="preserve">VILLALVA </t>
  </si>
  <si>
    <t xml:space="preserve">VILLAVERDE MATIAS </t>
  </si>
  <si>
    <t xml:space="preserve">buschiazzo j carlos </t>
  </si>
  <si>
    <t>sapetti</t>
  </si>
  <si>
    <t xml:space="preserve">artrosis bilateral </t>
  </si>
  <si>
    <t xml:space="preserve">MENDOZA NORATA </t>
  </si>
  <si>
    <t xml:space="preserve">GERMANO CARMELA </t>
  </si>
  <si>
    <t xml:space="preserve">PEREZ STELLA </t>
  </si>
  <si>
    <t xml:space="preserve">ESPONDILITESIS </t>
  </si>
  <si>
    <t>TORNI/CAGE/DRILL</t>
  </si>
  <si>
    <t>IRIARTE MAURO</t>
  </si>
  <si>
    <t xml:space="preserve">PLACA TERCIO TUBO </t>
  </si>
  <si>
    <t xml:space="preserve">LUNA RAMON </t>
  </si>
  <si>
    <t xml:space="preserve">OLIVETTI PRISCILA </t>
  </si>
  <si>
    <t xml:space="preserve">TORRES ALBINA </t>
  </si>
  <si>
    <t xml:space="preserve">RIOS CRISPIN </t>
  </si>
  <si>
    <t xml:space="preserve">ARRUA RAQUEL </t>
  </si>
  <si>
    <t>NOA</t>
  </si>
  <si>
    <t xml:space="preserve">CONCORDIA </t>
  </si>
  <si>
    <t xml:space="preserve">ESPACIADOR </t>
  </si>
  <si>
    <t xml:space="preserve">QUIROZ MAIRA </t>
  </si>
  <si>
    <t xml:space="preserve">MUÑOZ CLARA </t>
  </si>
  <si>
    <t xml:space="preserve">HOFSTETTER MARTA </t>
  </si>
  <si>
    <t xml:space="preserve">CLAVO ENDOM. </t>
  </si>
  <si>
    <t xml:space="preserve">FRIES RUBEN </t>
  </si>
  <si>
    <t xml:space="preserve">COXARTROSIS </t>
  </si>
  <si>
    <t xml:space="preserve">PTC HIBRIDA </t>
  </si>
  <si>
    <t>FEDERAL</t>
  </si>
  <si>
    <t>BOVRIL</t>
  </si>
  <si>
    <t xml:space="preserve">RODRIGUEZ ESTEBAN </t>
  </si>
  <si>
    <t>TORN/BOTON CORT.</t>
  </si>
  <si>
    <t xml:space="preserve">DIEDERLE LEONOR </t>
  </si>
  <si>
    <t xml:space="preserve">LOPEZ CLAUDIO </t>
  </si>
  <si>
    <t xml:space="preserve">OCAMPO NICOLAS </t>
  </si>
  <si>
    <t xml:space="preserve">PLACA DOBLE VOLAR </t>
  </si>
  <si>
    <t xml:space="preserve">HERNANDARIAS </t>
  </si>
  <si>
    <t xml:space="preserve">LUNA JOSE </t>
  </si>
  <si>
    <t xml:space="preserve">LUX REV CADERA </t>
  </si>
  <si>
    <t>LACOMBE SANTIAGO</t>
  </si>
  <si>
    <t xml:space="preserve">MATTEODA HECTOR </t>
  </si>
  <si>
    <t>CABAÑA MANUEL</t>
  </si>
  <si>
    <t xml:space="preserve">ARANGUIS BLANCA </t>
  </si>
  <si>
    <t xml:space="preserve">ARPONES </t>
  </si>
  <si>
    <t xml:space="preserve">LES MANG ROT </t>
  </si>
  <si>
    <t xml:space="preserve">ALMARA IRMA </t>
  </si>
  <si>
    <t xml:space="preserve">GOMEZ AGUSTIN </t>
  </si>
  <si>
    <t xml:space="preserve">FX CLAVICULA </t>
  </si>
  <si>
    <t xml:space="preserve">PLACA A NATOM. BLOQ, </t>
  </si>
  <si>
    <t xml:space="preserve">GAMBINO FRANCISCO </t>
  </si>
  <si>
    <t>PLACA TER.TUBO</t>
  </si>
  <si>
    <t xml:space="preserve">ROCCOSALVO NOEMI </t>
  </si>
  <si>
    <t>LUQUEZ MARIA</t>
  </si>
  <si>
    <t>TESSARINI NORMA</t>
  </si>
  <si>
    <t xml:space="preserve">FX CAEDRA </t>
  </si>
  <si>
    <t>CLAVODHS</t>
  </si>
  <si>
    <t>AGUILAR ANTONIO</t>
  </si>
  <si>
    <t>GREGORUTTI</t>
  </si>
  <si>
    <t>CRESPO</t>
  </si>
  <si>
    <t xml:space="preserve">PASUTTI JUAN </t>
  </si>
  <si>
    <t>SCHONFELD MARIA LUISA</t>
  </si>
  <si>
    <t>FX  MTC</t>
  </si>
  <si>
    <t>LUNA FEDERICO</t>
  </si>
  <si>
    <t xml:space="preserve">AMAYA MARIA </t>
  </si>
  <si>
    <t xml:space="preserve">TROITIÑO MARGARITA </t>
  </si>
  <si>
    <t xml:space="preserve">PTC CEMENT/COTILO DOBLE </t>
  </si>
  <si>
    <t>CABALLERO JOSE CARLOS</t>
  </si>
  <si>
    <t>VIGGIANO SERGIO</t>
  </si>
  <si>
    <t>GARCILAO ERNESTO</t>
  </si>
  <si>
    <t>PTR ANATMICA  MOD</t>
  </si>
  <si>
    <t xml:space="preserve">FANGI SUSANA </t>
  </si>
  <si>
    <t>PTC ANATOMICA MOD</t>
  </si>
  <si>
    <t xml:space="preserve">GERSTNER MARIA </t>
  </si>
  <si>
    <t xml:space="preserve">PLACA PHILOS </t>
  </si>
  <si>
    <t xml:space="preserve">CURAC CEFERINA </t>
  </si>
  <si>
    <t xml:space="preserve">DUARTE BLANCA </t>
  </si>
  <si>
    <t>PALACIOS MIGUEL</t>
  </si>
  <si>
    <t xml:space="preserve">PLACA RECONST </t>
  </si>
  <si>
    <t xml:space="preserve">LUNA MAURICIA </t>
  </si>
  <si>
    <t>GOMEZ MARIO</t>
  </si>
  <si>
    <t xml:space="preserve">PLACA  DOBLE HILERA DIS </t>
  </si>
  <si>
    <t>BERTOLI ALFREDO</t>
  </si>
  <si>
    <t>NECROSIS</t>
  </si>
  <si>
    <t>PTC NO CEMENTADA</t>
  </si>
  <si>
    <t xml:space="preserve">RICKERT CATALINA </t>
  </si>
  <si>
    <t>TORN. CANUL</t>
  </si>
  <si>
    <t xml:space="preserve">BERUTTI SILVIA </t>
  </si>
  <si>
    <t xml:space="preserve">TUTOR MONOPL. </t>
  </si>
  <si>
    <t xml:space="preserve">INFCC.PROTESICA </t>
  </si>
  <si>
    <t>BRAVO MIRTA RAQUEL</t>
  </si>
  <si>
    <t>RTR PRIMARIO</t>
  </si>
  <si>
    <t xml:space="preserve">CABAÑA ANTONIO </t>
  </si>
  <si>
    <t>COXALGIA</t>
  </si>
  <si>
    <t xml:space="preserve">CUELLO MIGUEL </t>
  </si>
  <si>
    <t xml:space="preserve">PTC REV/COTILLO DOBLE </t>
  </si>
  <si>
    <t>OLMOS NICOLASA</t>
  </si>
  <si>
    <t>PC CEMENT /COTILO DOBLE</t>
  </si>
  <si>
    <t xml:space="preserve">MEDINA MARIA CRISTINA </t>
  </si>
  <si>
    <t>ARTROSIS ROD</t>
  </si>
  <si>
    <t xml:space="preserve">RIVASSEAU RAUL </t>
  </si>
  <si>
    <t>ARTROSIS TOB</t>
  </si>
  <si>
    <t xml:space="preserve">AMARILLO BEATRIZ </t>
  </si>
  <si>
    <t xml:space="preserve">LUMBOCIATALGIA </t>
  </si>
  <si>
    <t>BARRAS/TORN/CAGE/DRILL</t>
  </si>
  <si>
    <t xml:space="preserve">NOGOYA </t>
  </si>
  <si>
    <t xml:space="preserve">STRACK ZUNILDA </t>
  </si>
  <si>
    <t xml:space="preserve">ARTROSIS ROD </t>
  </si>
  <si>
    <t xml:space="preserve">RPP RODILLA IZQ </t>
  </si>
  <si>
    <t xml:space="preserve">FERNANDEZ MARTA </t>
  </si>
  <si>
    <t>FALLA PTRT.</t>
  </si>
  <si>
    <t>CLAVO TIPO MULLER</t>
  </si>
  <si>
    <t>OCAMPO PERDO</t>
  </si>
  <si>
    <t>RODRIGUEZ SANTOS</t>
  </si>
  <si>
    <t>TORN. BOTON/HDH</t>
  </si>
  <si>
    <t xml:space="preserve">FLORES MIGUEL ANGEL </t>
  </si>
  <si>
    <t>TORN.BOTON</t>
  </si>
  <si>
    <t>VIALE</t>
  </si>
  <si>
    <t>VALENTINUZ NELLI TERESITA</t>
  </si>
  <si>
    <t xml:space="preserve">BARROSO MAGDALENA </t>
  </si>
  <si>
    <t xml:space="preserve">LUGON TERESITA BEATRIZ </t>
  </si>
  <si>
    <t>PACA VOLAR</t>
  </si>
  <si>
    <t xml:space="preserve">ALGUIBE LAURA </t>
  </si>
  <si>
    <t xml:space="preserve">PIROLA BETIS </t>
  </si>
  <si>
    <t>PTC CEMEN/COTILO DOB</t>
  </si>
  <si>
    <t xml:space="preserve">RUP DE ROTULA </t>
  </si>
  <si>
    <t>ARP/TORN/STRPPER</t>
  </si>
  <si>
    <t xml:space="preserve">DIGIOBANI LUCAS </t>
  </si>
  <si>
    <t xml:space="preserve">GUTIERREZ DORALISA </t>
  </si>
  <si>
    <t xml:space="preserve">MONTEROS MARIA </t>
  </si>
  <si>
    <t>FROSCHAUER MIKEL</t>
  </si>
  <si>
    <t xml:space="preserve">LEIVA EDUARDO </t>
  </si>
  <si>
    <t xml:space="preserve">GONALGIA </t>
  </si>
  <si>
    <t>PTR ANAT. MODULAR</t>
  </si>
  <si>
    <t xml:space="preserve">MOREYRA MARTA </t>
  </si>
  <si>
    <t xml:space="preserve">PTC CEMENTADA </t>
  </si>
  <si>
    <t>FRANCO LEONARDO</t>
  </si>
  <si>
    <t>ARTROSIS</t>
  </si>
  <si>
    <t>TORN. ESPONJA P.OSTEO</t>
  </si>
  <si>
    <t>STTINER VERONICA</t>
  </si>
  <si>
    <t xml:space="preserve">PTC CEMEN/C DOBLE </t>
  </si>
  <si>
    <t xml:space="preserve">PODVERCICH BRIAN </t>
  </si>
  <si>
    <t>TORN INTERF/BOTON</t>
  </si>
  <si>
    <t xml:space="preserve">ZALAZAR DIANA </t>
  </si>
  <si>
    <t xml:space="preserve">SANTA ELENA </t>
  </si>
  <si>
    <t>GADEA RUDECINDO</t>
  </si>
  <si>
    <t xml:space="preserve">REVICION </t>
  </si>
  <si>
    <t xml:space="preserve">PTC/COT/P.CABLE/TORN </t>
  </si>
  <si>
    <t xml:space="preserve">RAMIREZ </t>
  </si>
  <si>
    <t>RECHAZADO</t>
  </si>
  <si>
    <t>ART. ASTRAGALO</t>
  </si>
  <si>
    <t>P.OSTEOSISNTESIS</t>
  </si>
  <si>
    <t xml:space="preserve">DUARTE ROXANA </t>
  </si>
  <si>
    <t xml:space="preserve">PEREZ ELDA </t>
  </si>
  <si>
    <t xml:space="preserve">PRT CADERA BIPOLAR </t>
  </si>
  <si>
    <t xml:space="preserve">SUKMANOWSKI MARIAN </t>
  </si>
  <si>
    <t>PTC CEMEN/COTILO</t>
  </si>
  <si>
    <t xml:space="preserve">CORONEL DORA </t>
  </si>
  <si>
    <t>PLACA EDR</t>
  </si>
  <si>
    <t xml:space="preserve">SEPPEY STELLA </t>
  </si>
  <si>
    <t xml:space="preserve">ZAPATA MIRTA </t>
  </si>
  <si>
    <t xml:space="preserve">TORNILL/BOTON </t>
  </si>
  <si>
    <t xml:space="preserve">OSORIA STELL M </t>
  </si>
  <si>
    <t>C. LUMBAR ESTCH</t>
  </si>
  <si>
    <t xml:space="preserve">BARRAS/TORN/CAGE </t>
  </si>
  <si>
    <t xml:space="preserve">ROTELA WALTER </t>
  </si>
  <si>
    <t>GOROSITO GASPAR</t>
  </si>
  <si>
    <t xml:space="preserve">VILLAVERDE FATIMA </t>
  </si>
  <si>
    <t xml:space="preserve">SEGUI </t>
  </si>
  <si>
    <t xml:space="preserve">FORGEZ LORENZA </t>
  </si>
  <si>
    <t>BECKER MERCEDES</t>
  </si>
  <si>
    <t xml:space="preserve">BARRIOS YOLANDA </t>
  </si>
  <si>
    <t>CORVALAN MABEL</t>
  </si>
  <si>
    <t xml:space="preserve">GORO LIDIA </t>
  </si>
  <si>
    <t>SOSAYA JUAN FRANCISCO</t>
  </si>
  <si>
    <t>PPC BIPOLAR</t>
  </si>
  <si>
    <t xml:space="preserve">REINOSO VICTOR </t>
  </si>
  <si>
    <t xml:space="preserve">RTC NO CEMENT </t>
  </si>
  <si>
    <t>LOPEZ IGNACIO</t>
  </si>
  <si>
    <t xml:space="preserve">FX TIBIA-PERONE </t>
  </si>
  <si>
    <t>BOVIER SILVANO</t>
  </si>
  <si>
    <t>ARCE EUFEMIO</t>
  </si>
  <si>
    <t xml:space="preserve">CABRERA ROGELIA </t>
  </si>
  <si>
    <t xml:space="preserve">VERGARA RAMONA </t>
  </si>
  <si>
    <t>TOR HERBERT</t>
  </si>
  <si>
    <t xml:space="preserve">SILVA ANA MARIA </t>
  </si>
  <si>
    <t>RTR ANATOMICA</t>
  </si>
  <si>
    <t>VILLAGRA JOSE</t>
  </si>
  <si>
    <t xml:space="preserve">FERREYRA MARIA DEL CARMEN </t>
  </si>
  <si>
    <t>ARRUA JUANA</t>
  </si>
  <si>
    <t xml:space="preserve">CHARVEY ELSA </t>
  </si>
  <si>
    <t>FONTANA ESTHER</t>
  </si>
  <si>
    <t xml:space="preserve">FALLA OSTEOS </t>
  </si>
  <si>
    <t>TALLO/COTILO</t>
  </si>
  <si>
    <t>GIMENEZ CLAUDIO</t>
  </si>
  <si>
    <t>CLAVO ENDM.PARA TIBIA</t>
  </si>
  <si>
    <t>MANETTI MIGUEL ANGEL</t>
  </si>
  <si>
    <t>PTR PRIMARIO</t>
  </si>
  <si>
    <t xml:space="preserve">DEMARTIN ANIBAL </t>
  </si>
  <si>
    <t>TOCHI ANDRES</t>
  </si>
  <si>
    <t>PTR HIBRIDA</t>
  </si>
  <si>
    <t xml:space="preserve">DAVOLI MARIA </t>
  </si>
  <si>
    <t>VILLAGRA CAMILA</t>
  </si>
  <si>
    <t>FX TIBIA</t>
  </si>
  <si>
    <t>CLAVO ENDOM. ACERROJ</t>
  </si>
  <si>
    <t xml:space="preserve">IBARRA CARLOS </t>
  </si>
  <si>
    <t>CLACO ENDOM. ACERROJ</t>
  </si>
  <si>
    <t xml:space="preserve">GODOY BLANCA </t>
  </si>
  <si>
    <t>ESCOLIOSIS</t>
  </si>
  <si>
    <t>SIS.FIJ.LUMBO-SACRO</t>
  </si>
  <si>
    <t xml:space="preserve">RODRIGUEZ MARIA ESTELA </t>
  </si>
  <si>
    <t xml:space="preserve">OMALGIA </t>
  </si>
  <si>
    <t>ARPONES</t>
  </si>
  <si>
    <t xml:space="preserve">RIOS GRGORIA </t>
  </si>
  <si>
    <t>RTR ANATOM. MODULAR</t>
  </si>
  <si>
    <t>RTR ANATM. MODUL</t>
  </si>
  <si>
    <t xml:space="preserve">GOMEZ BLANCA </t>
  </si>
  <si>
    <t xml:space="preserve">ALVAREZ JESICA </t>
  </si>
  <si>
    <t xml:space="preserve">PEREYRA RAMON </t>
  </si>
  <si>
    <t>L MANG. ROT</t>
  </si>
  <si>
    <t xml:space="preserve">VELAZQUEZ SUSANA </t>
  </si>
  <si>
    <t>GRANDOLI MICAELA</t>
  </si>
  <si>
    <t xml:space="preserve">FONSECA AMPARO </t>
  </si>
  <si>
    <t xml:space="preserve">MANA ROQUE </t>
  </si>
  <si>
    <t>VICTORIA</t>
  </si>
  <si>
    <t xml:space="preserve">ALEGRE LEONARDO </t>
  </si>
  <si>
    <t>X BANCO</t>
  </si>
  <si>
    <t xml:space="preserve">GARCIA MIGUEL </t>
  </si>
  <si>
    <t xml:space="preserve">BORGEAT LEONEL </t>
  </si>
  <si>
    <t xml:space="preserve">PEREYRA MARTA </t>
  </si>
  <si>
    <t xml:space="preserve">FX TIBIAL </t>
  </si>
  <si>
    <t xml:space="preserve">GUIATIBIAL/BOTON </t>
  </si>
  <si>
    <t xml:space="preserve">SAN SALVADOR </t>
  </si>
  <si>
    <t xml:space="preserve">REDONI  LUIS </t>
  </si>
  <si>
    <t xml:space="preserve">PTR CEMENTADA </t>
  </si>
  <si>
    <t xml:space="preserve">ALEGRE MARIA </t>
  </si>
  <si>
    <t xml:space="preserve">GRANDOLI PATRICIA </t>
  </si>
  <si>
    <t>CANAL ESTRECHO</t>
  </si>
  <si>
    <t>SUST OSEO</t>
  </si>
  <si>
    <t>P. BRUGO</t>
  </si>
  <si>
    <t xml:space="preserve">ROMERO MARIA </t>
  </si>
  <si>
    <t xml:space="preserve">RESIDENTES </t>
  </si>
  <si>
    <t xml:space="preserve">PSEUDOARTROSIS </t>
  </si>
  <si>
    <t>TORNILLOS MELEOLAR</t>
  </si>
  <si>
    <t xml:space="preserve">SCHMIDT RENATA </t>
  </si>
  <si>
    <t xml:space="preserve">PEREZ BARTOLA </t>
  </si>
  <si>
    <t xml:space="preserve">VILLAGRA VIVIANA </t>
  </si>
  <si>
    <t>TORNL. CANUL</t>
  </si>
  <si>
    <t>GOMEZ FACUNDO</t>
  </si>
  <si>
    <t xml:space="preserve">FRIZLER GRACIELA </t>
  </si>
  <si>
    <t>MAYORAZ SARA</t>
  </si>
  <si>
    <t xml:space="preserve">BARRETO CARLOS </t>
  </si>
  <si>
    <t>GUALEGUAYCHU</t>
  </si>
  <si>
    <t xml:space="preserve">FAELO IVAN </t>
  </si>
  <si>
    <t>BURGGARDT RICARDO</t>
  </si>
  <si>
    <t xml:space="preserve">RUP MANG ROT </t>
  </si>
  <si>
    <t xml:space="preserve">ALTAMIRANO </t>
  </si>
  <si>
    <t xml:space="preserve">SISTEME DE SUTURA </t>
  </si>
  <si>
    <t>YARCE  EDUARDO</t>
  </si>
  <si>
    <t xml:space="preserve"> CARRERA LILIANA </t>
  </si>
  <si>
    <t xml:space="preserve">VILLAGUAY </t>
  </si>
  <si>
    <t>RENE NILDA</t>
  </si>
  <si>
    <t xml:space="preserve">CISNEROS FACUNDO </t>
  </si>
  <si>
    <t xml:space="preserve">NOA </t>
  </si>
  <si>
    <t xml:space="preserve">PTC CERAMICA </t>
  </si>
  <si>
    <t>VILLAGRA NOEMI</t>
  </si>
  <si>
    <t>IP MAGNA</t>
  </si>
  <si>
    <t xml:space="preserve">ESTADO </t>
  </si>
  <si>
    <t>MULLER CARLOS</t>
  </si>
  <si>
    <t xml:space="preserve">GONARTROSIS </t>
  </si>
  <si>
    <t>CERRITO</t>
  </si>
  <si>
    <t xml:space="preserve">ROSKOPF NORMA </t>
  </si>
  <si>
    <t>P. DOBLE H. DISTAL</t>
  </si>
  <si>
    <t>CASTRO ANTONIA</t>
  </si>
  <si>
    <t>MICHELOUD MARIA J</t>
  </si>
  <si>
    <t xml:space="preserve">ANCILLOTTI STELLA </t>
  </si>
  <si>
    <t xml:space="preserve">PTC CEMENT/ COTILO D </t>
  </si>
  <si>
    <t xml:space="preserve">VEGA SONIA </t>
  </si>
  <si>
    <t xml:space="preserve">C. GAMMA /DHS </t>
  </si>
  <si>
    <t>ROMERO EDUARDO</t>
  </si>
  <si>
    <t xml:space="preserve">GONZALEZ PALOMA </t>
  </si>
  <si>
    <t xml:space="preserve">TORNILLOS INTERF </t>
  </si>
  <si>
    <t>GOZELA ALVERTO</t>
  </si>
  <si>
    <t xml:space="preserve">FX HUMERO </t>
  </si>
  <si>
    <t>C. ENDOMEDULAR</t>
  </si>
  <si>
    <t xml:space="preserve">CASERES ALEJANDRA </t>
  </si>
  <si>
    <t>AFLOJ. PROTES</t>
  </si>
  <si>
    <t xml:space="preserve">P TC  CEMENTADA </t>
  </si>
  <si>
    <t>AGUIRRE ROBERTO</t>
  </si>
  <si>
    <t xml:space="preserve">SIT.FIJ COLUMNA </t>
  </si>
  <si>
    <t xml:space="preserve">DUARTE GLADYS </t>
  </si>
  <si>
    <t>CLAV/GAMMA/CLAV DHS</t>
  </si>
  <si>
    <t>ZANABRIA MARIA LINA</t>
  </si>
  <si>
    <t>CARDOZO LUCAS</t>
  </si>
  <si>
    <t xml:space="preserve">PLACA 1/3 </t>
  </si>
  <si>
    <t xml:space="preserve">PALACIOS ELBA </t>
  </si>
  <si>
    <t xml:space="preserve">ARTRO. RODILLA </t>
  </si>
  <si>
    <t xml:space="preserve">ARTRO CADERA </t>
  </si>
  <si>
    <t xml:space="preserve">EL PALENQUE </t>
  </si>
  <si>
    <t>PODVERSICH BRIAN</t>
  </si>
  <si>
    <t xml:space="preserve">SIRTORI SILVIA </t>
  </si>
  <si>
    <t>P. PHILOS /CLAVO</t>
  </si>
  <si>
    <t>ALLEGRINI HAYDEE</t>
  </si>
  <si>
    <t>DIAZ MARCELO</t>
  </si>
  <si>
    <t>MOREIRA HORACIO</t>
  </si>
  <si>
    <t>BARRAS/TORN/PLIF</t>
  </si>
  <si>
    <t xml:space="preserve">IANCOVICH OSCAR </t>
  </si>
  <si>
    <t>CANTERO OSCAR</t>
  </si>
  <si>
    <t xml:space="preserve">ZAPATA NELIDA </t>
  </si>
  <si>
    <t xml:space="preserve">ALBORNOZ SIMON </t>
  </si>
  <si>
    <t>LOPEZ MIGUEL</t>
  </si>
  <si>
    <t xml:space="preserve">RUP.TENDON </t>
  </si>
  <si>
    <t>CAMPOS MARGARITA</t>
  </si>
  <si>
    <t xml:space="preserve">P.PHILOS </t>
  </si>
  <si>
    <t>WILD RAUL HUGO</t>
  </si>
  <si>
    <t>ERNST ANA MARCIANA</t>
  </si>
  <si>
    <t xml:space="preserve">ARREDONDO GISELA </t>
  </si>
  <si>
    <t xml:space="preserve">RIQUELME RODRIGO </t>
  </si>
  <si>
    <t xml:space="preserve">TORNILLOS INTERF BOTON </t>
  </si>
  <si>
    <t xml:space="preserve">CABO PEREZ JOSE </t>
  </si>
  <si>
    <t>C DEL URUGUAY</t>
  </si>
  <si>
    <t xml:space="preserve">MUJICA MARTA </t>
  </si>
  <si>
    <t>REV OSTEOS</t>
  </si>
  <si>
    <t xml:space="preserve">C. PLAC DHS </t>
  </si>
  <si>
    <t>CARRUEGO ISABEL</t>
  </si>
  <si>
    <t xml:space="preserve">EICHHORN NORMA </t>
  </si>
  <si>
    <t>MORKEL LUISA</t>
  </si>
  <si>
    <t xml:space="preserve">FERNANDEZ RAMONA </t>
  </si>
  <si>
    <t>LA PAZ</t>
  </si>
  <si>
    <t xml:space="preserve">SAAVEDRA RUBEN </t>
  </si>
  <si>
    <t xml:space="preserve">OVIEDO JUAN </t>
  </si>
  <si>
    <t xml:space="preserve">GUZMAN GLORIA </t>
  </si>
  <si>
    <t xml:space="preserve">PATRIARCA STELLA MARIS </t>
  </si>
  <si>
    <t xml:space="preserve">VIA ESCEPCION </t>
  </si>
  <si>
    <t>TOR.TIPO BAROUK</t>
  </si>
  <si>
    <t xml:space="preserve">CORREA PATRICIA </t>
  </si>
  <si>
    <t xml:space="preserve">GIMENEZ ROSA </t>
  </si>
  <si>
    <t>TOR/BOTON CORT</t>
  </si>
  <si>
    <t xml:space="preserve">GODOY HECTOR </t>
  </si>
  <si>
    <t>GENU VALGO</t>
  </si>
  <si>
    <t>SILVA CARMELO</t>
  </si>
  <si>
    <t xml:space="preserve">WAGNER OLGA </t>
  </si>
  <si>
    <t>AFLOJ ACEPTICO</t>
  </si>
  <si>
    <t xml:space="preserve">PTR REVISION </t>
  </si>
  <si>
    <t xml:space="preserve">BARROSO JOSEFA </t>
  </si>
  <si>
    <t xml:space="preserve">FX CADERA  </t>
  </si>
  <si>
    <t xml:space="preserve">PPC THOMPSON </t>
  </si>
  <si>
    <t>SUSPENDIDO</t>
  </si>
  <si>
    <t>AFLOJ PRT</t>
  </si>
  <si>
    <t xml:space="preserve">RION JUANA </t>
  </si>
  <si>
    <t>FX FEMUR</t>
  </si>
  <si>
    <t>PLACA DISTAL/TORN/CLAVO</t>
  </si>
  <si>
    <t>KESSLER ISABEL</t>
  </si>
  <si>
    <t xml:space="preserve">SLOBODZIAN JUAN </t>
  </si>
  <si>
    <t>FX TIB Y PERONE</t>
  </si>
  <si>
    <t>PLAC T TUBO/CLAVO</t>
  </si>
  <si>
    <t>LELL ANITA</t>
  </si>
  <si>
    <t>MARTINEZ FRANCO</t>
  </si>
  <si>
    <t xml:space="preserve">ALVAREZ JOSE </t>
  </si>
  <si>
    <t>DIAMANTE</t>
  </si>
  <si>
    <t>CASCO MIRIAM</t>
  </si>
  <si>
    <t>PTR ANATOMICA</t>
  </si>
  <si>
    <t>GERSTNER VICTORIA</t>
  </si>
  <si>
    <t xml:space="preserve">SUAREZ JOSEFA </t>
  </si>
  <si>
    <t>LARROCHE JUAN</t>
  </si>
  <si>
    <t xml:space="preserve">FERNANDEZ  DAIANA </t>
  </si>
  <si>
    <t>TOR/BARRAS/CLIF</t>
  </si>
  <si>
    <t xml:space="preserve">FERNANDEZ DAIANA </t>
  </si>
  <si>
    <t xml:space="preserve">SANCHEZ MICAELA </t>
  </si>
  <si>
    <t xml:space="preserve">BRAVO FLORENCIA </t>
  </si>
  <si>
    <t xml:space="preserve">LALLANA MARIA ROSA </t>
  </si>
  <si>
    <t>TORN BAROUK</t>
  </si>
  <si>
    <t>DIEMENT JUDITH</t>
  </si>
  <si>
    <t>NECROSIS CAD</t>
  </si>
  <si>
    <t xml:space="preserve">HAEDO  NELIDA </t>
  </si>
  <si>
    <t>OJEDA MARIA LUISA</t>
  </si>
  <si>
    <t xml:space="preserve">CASTELLANO KEVIN </t>
  </si>
  <si>
    <t xml:space="preserve">TRON/BOTON </t>
  </si>
  <si>
    <t>BENITEZ ANDRES</t>
  </si>
  <si>
    <t>BENITEZ FRANCO</t>
  </si>
  <si>
    <t xml:space="preserve">TORTUL GRACIELA </t>
  </si>
  <si>
    <t>PLACA COND</t>
  </si>
  <si>
    <t xml:space="preserve">GONZALEZ  LILIANA </t>
  </si>
  <si>
    <t>RUPT MANG.ROT</t>
  </si>
  <si>
    <t xml:space="preserve">PEREYRA ESTER </t>
  </si>
  <si>
    <t>ALCARAZ</t>
  </si>
  <si>
    <t xml:space="preserve">VALIENTE NELIDA </t>
  </si>
  <si>
    <t xml:space="preserve">FEDERAL </t>
  </si>
  <si>
    <t xml:space="preserve">MOREIRA HORACIO </t>
  </si>
  <si>
    <t>BARRA/TORNI/PLIFF</t>
  </si>
  <si>
    <t xml:space="preserve">ORNETTI SUSANA </t>
  </si>
  <si>
    <t>VILCHE YAIR</t>
  </si>
  <si>
    <t>NARVAEZ</t>
  </si>
  <si>
    <t xml:space="preserve">AMPUTACION </t>
  </si>
  <si>
    <t xml:space="preserve">PILON TIBIAL </t>
  </si>
  <si>
    <t xml:space="preserve">NIETO PATRICIA </t>
  </si>
  <si>
    <t>PTC NO CEEMNET</t>
  </si>
  <si>
    <t xml:space="preserve">TENTOR JULIO </t>
  </si>
  <si>
    <t>NECROSIS CAD I</t>
  </si>
  <si>
    <t>NECROSIS CAD D</t>
  </si>
  <si>
    <t>TREPPAN ELENA</t>
  </si>
  <si>
    <t>JACOB</t>
  </si>
  <si>
    <t xml:space="preserve">TORRES ANA </t>
  </si>
  <si>
    <t>FXFEMUR/MUÑE</t>
  </si>
  <si>
    <t>PLACA DOBL/COND/TORN</t>
  </si>
  <si>
    <t>BARRIOS LIA ZULEMA</t>
  </si>
  <si>
    <t xml:space="preserve">AGUIRRE BLANCA </t>
  </si>
  <si>
    <t>AFLOJ PROTS</t>
  </si>
  <si>
    <t xml:space="preserve">PTC REVIS/COTILO DOBLE </t>
  </si>
  <si>
    <t xml:space="preserve">ACHIABRANDO MANUEL </t>
  </si>
  <si>
    <t>MAZADRI GREGORIA</t>
  </si>
  <si>
    <t>TORN. ESPONJ/ARANDE</t>
  </si>
  <si>
    <t xml:space="preserve"> </t>
  </si>
  <si>
    <t xml:space="preserve">PASUTTI MIRTA </t>
  </si>
  <si>
    <t>ESCOLISIS</t>
  </si>
  <si>
    <t xml:space="preserve">FUCHS FLORA </t>
  </si>
  <si>
    <t>GONZALEZ ROBERTO</t>
  </si>
  <si>
    <t>DISPLASIA DE CA</t>
  </si>
  <si>
    <t xml:space="preserve">BASUALDO DANTE </t>
  </si>
  <si>
    <t>THEAUX</t>
  </si>
  <si>
    <t>PTC NO CEMET</t>
  </si>
  <si>
    <t xml:space="preserve">PTC NO CEMETN COTILO </t>
  </si>
  <si>
    <t xml:space="preserve">ALVARADO MARINA </t>
  </si>
  <si>
    <t>LES/MANGUIT ROT</t>
  </si>
  <si>
    <t xml:space="preserve">GIMENEZ LUIS </t>
  </si>
  <si>
    <t xml:space="preserve">MIOLETTO NADIA </t>
  </si>
  <si>
    <t>BOTON / TORN</t>
  </si>
  <si>
    <t xml:space="preserve">MEDINA MARIA </t>
  </si>
  <si>
    <t>DISCOPATIA</t>
  </si>
  <si>
    <t xml:space="preserve">MARTINEZ JUANA </t>
  </si>
  <si>
    <t xml:space="preserve">MEDINA MARIA EVA </t>
  </si>
  <si>
    <t xml:space="preserve">25 PTES </t>
  </si>
  <si>
    <t>13 PAMI</t>
  </si>
  <si>
    <t>11 S/M</t>
  </si>
  <si>
    <t>LOPEZ SILVIA</t>
  </si>
  <si>
    <t xml:space="preserve">RODRIGUEZ MARTIN </t>
  </si>
  <si>
    <t>OMALGIA IZQ</t>
  </si>
  <si>
    <t xml:space="preserve">CORDOBA JONATHAN </t>
  </si>
  <si>
    <t>LUX HOMBRO</t>
  </si>
  <si>
    <t xml:space="preserve">ENDOBOTON </t>
  </si>
  <si>
    <t>SALAS BLANCA CATALINA</t>
  </si>
  <si>
    <t>FX TIBIA Y PERONE</t>
  </si>
  <si>
    <t>PLACA HILERA DISTAL</t>
  </si>
  <si>
    <t>CORAJUDIA ADELMA</t>
  </si>
  <si>
    <t>FX CADERA IZQ</t>
  </si>
  <si>
    <t>CLAVO ENDOMEDULAR</t>
  </si>
  <si>
    <t>RIOS AVELINA</t>
  </si>
  <si>
    <t>PTC CEMENTADA</t>
  </si>
  <si>
    <t>ALBORNOZ SIMON</t>
  </si>
  <si>
    <t>RUPTURA TENDON</t>
  </si>
  <si>
    <t>PTC RODILLA/ MALLA MARLEX</t>
  </si>
  <si>
    <t>GABAS ETELVINA DORILA</t>
  </si>
  <si>
    <t>PROTESIS THOMPSON</t>
  </si>
  <si>
    <t>PALAVECINO ANGEL RAMON</t>
  </si>
  <si>
    <t>PEÑA TANIA</t>
  </si>
  <si>
    <t>LESCANO ESTER</t>
  </si>
  <si>
    <t>CLAVO PLACA DHS</t>
  </si>
  <si>
    <t>VILLABA</t>
  </si>
  <si>
    <t>MORALES ARACELI AYELEN</t>
  </si>
  <si>
    <t>TORNILLO/BOTON</t>
  </si>
  <si>
    <t xml:space="preserve">GABAS IMELDA MARIA </t>
  </si>
  <si>
    <t>FX MUÑECA IZQ</t>
  </si>
  <si>
    <t>PLACA EDH/PLACA 1/3</t>
  </si>
  <si>
    <t xml:space="preserve">DE LOS SANTOS MARIA </t>
  </si>
  <si>
    <t>PTC TOTAL DE RODILLA</t>
  </si>
  <si>
    <t>PORTILLO SERGIO DANIEL</t>
  </si>
  <si>
    <t>DEFECT/FEMUR IZQ</t>
  </si>
  <si>
    <t>TUTOR TUBULAR AO</t>
  </si>
  <si>
    <t>RETAMAR JUAN</t>
  </si>
  <si>
    <t>VALVA REMOPLASTICA</t>
  </si>
  <si>
    <t>CAGNANI MIRTHA</t>
  </si>
  <si>
    <t>SANCHEZ ALEJANDRA</t>
  </si>
  <si>
    <t>COLUMNA</t>
  </si>
  <si>
    <t>TORNILLOS/BARRAS/PLIF/SUST-OSEO</t>
  </si>
  <si>
    <t>TORRES ANA</t>
  </si>
  <si>
    <t>PLACA ANAT/PILON-TIBIAL</t>
  </si>
  <si>
    <t>CORREA HORTENCIA</t>
  </si>
  <si>
    <t>FX INTRAPELVICA</t>
  </si>
  <si>
    <t>FERREYRA MARIA DEL CARMEN</t>
  </si>
  <si>
    <t>QUIROGA ROBERTO ALFREDO</t>
  </si>
  <si>
    <t>FX</t>
  </si>
  <si>
    <t>PTC THOMPSON</t>
  </si>
  <si>
    <t>ANTUNEZ MIRTHA</t>
  </si>
  <si>
    <t>HALLUX VALVUS</t>
  </si>
  <si>
    <t>VITOR EDUARDO</t>
  </si>
  <si>
    <t>BOLZAN NORMA</t>
  </si>
  <si>
    <t>VARGAS JUAN</t>
  </si>
  <si>
    <t>PLACA 1/3 TUBO</t>
  </si>
  <si>
    <t>AYALA STELLA</t>
  </si>
  <si>
    <t>PLACA LAMBDA/TOR-CAN</t>
  </si>
  <si>
    <t>MONEY VIOLETA</t>
  </si>
  <si>
    <t>FX PROX HUMERO</t>
  </si>
  <si>
    <t>GRACIELA INES</t>
  </si>
  <si>
    <t>GIORGIO ESTER EMILCE</t>
  </si>
  <si>
    <t xml:space="preserve">AGUSTIN GIACCIO </t>
  </si>
  <si>
    <t>TOR/BOTON/PUNTA/INMOL</t>
  </si>
  <si>
    <t>ACOSTA LEANDRO</t>
  </si>
  <si>
    <t xml:space="preserve">SCHMIDT HERNAN </t>
  </si>
  <si>
    <t>OSTEORTRITIS</t>
  </si>
  <si>
    <t>PTC TOTAL DE CADERA</t>
  </si>
  <si>
    <t>RIVERO LIDIA ELENA</t>
  </si>
  <si>
    <t xml:space="preserve">REEMPLAZO DE ROD </t>
  </si>
  <si>
    <t>STROHL NELIDA</t>
  </si>
  <si>
    <t>COXOARTROSIS</t>
  </si>
  <si>
    <t xml:space="preserve">PTC DE CADERA </t>
  </si>
  <si>
    <t>YURI UZIEL</t>
  </si>
  <si>
    <t>TOR/PLACA/CLAV</t>
  </si>
  <si>
    <t>FX FEMUR Y PLATILLO</t>
  </si>
  <si>
    <t>CAMPOS MIRTA</t>
  </si>
  <si>
    <t>PTC TOTAL DE ROD</t>
  </si>
  <si>
    <t>HILMAN ELENA</t>
  </si>
  <si>
    <t>CARRERAS LILIANA</t>
  </si>
  <si>
    <t>PTC TOTAL DE CAD</t>
  </si>
  <si>
    <t>SISTEM/FIJACION</t>
  </si>
  <si>
    <t>FRACTURA T12</t>
  </si>
  <si>
    <t>GRIFIF JUAN ROMAN</t>
  </si>
  <si>
    <t xml:space="preserve">BOTON </t>
  </si>
  <si>
    <t xml:space="preserve">SILVA JORGELINA </t>
  </si>
  <si>
    <t>AFLOJ PROTESICO</t>
  </si>
  <si>
    <t xml:space="preserve">PTC DE REVISION </t>
  </si>
  <si>
    <t>TORN/BARRAS/DRIL</t>
  </si>
  <si>
    <t xml:space="preserve">HAEDO NELIDA </t>
  </si>
  <si>
    <t>C DERECHA</t>
  </si>
  <si>
    <t>ESPACIADOR</t>
  </si>
  <si>
    <t xml:space="preserve">PALACIOS ELIDA </t>
  </si>
  <si>
    <t>PTR PRIMARIA</t>
  </si>
  <si>
    <t xml:space="preserve">SANCHEZ CARMEN </t>
  </si>
  <si>
    <t>VARO COMPLEJO</t>
  </si>
  <si>
    <t xml:space="preserve">PTR DE REVISION </t>
  </si>
  <si>
    <t>ACEPTADO</t>
  </si>
  <si>
    <t>ARELLANO ADRIAN</t>
  </si>
  <si>
    <t>TORN/ENDOBOTON</t>
  </si>
  <si>
    <t xml:space="preserve">LENCINA MARIA </t>
  </si>
  <si>
    <t>FX  CUBITO</t>
  </si>
  <si>
    <t xml:space="preserve">ECHAVIYU FELIPA </t>
  </si>
  <si>
    <t>FERNANDEZ LUISA</t>
  </si>
  <si>
    <t xml:space="preserve">ACEVEDO OLGA </t>
  </si>
  <si>
    <t>PTC CEMENT/COTILO D</t>
  </si>
  <si>
    <t>CABRERA GRISELDA</t>
  </si>
  <si>
    <t>RAMIREZ PATRICIA</t>
  </si>
  <si>
    <t xml:space="preserve">IBARRA MARIA LUISA </t>
  </si>
  <si>
    <t>HALLUXVALGO</t>
  </si>
  <si>
    <t>TORN TIPO BAROUK</t>
  </si>
  <si>
    <t xml:space="preserve">LOPEZ SILVIA </t>
  </si>
  <si>
    <t>NECROSIS  CAD</t>
  </si>
  <si>
    <t>ORELLANO MANUEL</t>
  </si>
  <si>
    <t>FX PELVIS</t>
  </si>
  <si>
    <t>PLACA RECOSNT</t>
  </si>
  <si>
    <t>GODOY RITA</t>
  </si>
  <si>
    <t xml:space="preserve">URGENTE </t>
  </si>
  <si>
    <t>MONZON NERCEDES ELENA</t>
  </si>
  <si>
    <t>PTC DE ROD CON VAST</t>
  </si>
  <si>
    <t>PARANÁ</t>
  </si>
  <si>
    <t>AVILES JUAN</t>
  </si>
  <si>
    <t>GENUVARO ART</t>
  </si>
  <si>
    <t>PTC ROD DERECHA</t>
  </si>
  <si>
    <t>GAREIS YOLANDA</t>
  </si>
  <si>
    <t>REEMPLAZO T DE RODILLA</t>
  </si>
  <si>
    <t>PERALTA DIANA MARIA</t>
  </si>
  <si>
    <t xml:space="preserve">PTC DE ROD  </t>
  </si>
  <si>
    <t>WOLF NIDIA</t>
  </si>
  <si>
    <t>PTC COTILO DOBLE MOV</t>
  </si>
  <si>
    <t>PEREYRA ALICIA LILIANA</t>
  </si>
  <si>
    <t xml:space="preserve">FX DE MUÑECA </t>
  </si>
  <si>
    <t>BRITES DOLORES</t>
  </si>
  <si>
    <t>FX DE CADERA</t>
  </si>
  <si>
    <t xml:space="preserve">CLAVO DHS </t>
  </si>
  <si>
    <t>TOSAS NORMA</t>
  </si>
  <si>
    <t>PLACA PHILO</t>
  </si>
  <si>
    <t>PABON CELINA LUISA</t>
  </si>
  <si>
    <t>ERHAT LEA TERESA</t>
  </si>
  <si>
    <t>FX TIBIA Y PER</t>
  </si>
  <si>
    <t xml:space="preserve">CLAVO DE TIBIA </t>
  </si>
  <si>
    <t>PEREZ AURELIA</t>
  </si>
  <si>
    <t>PROTESIS DE RODILLA</t>
  </si>
  <si>
    <t>GENUVARO AR</t>
  </si>
  <si>
    <t>REEMPLAZO ROD</t>
  </si>
  <si>
    <t>GALVAN JOSE</t>
  </si>
  <si>
    <t>SET DE TORNILLOS CANUL</t>
  </si>
  <si>
    <t>EBERHARDT RAQUEL</t>
  </si>
  <si>
    <t>GODOY MATIAS</t>
  </si>
  <si>
    <t>MESA BERNARDO</t>
  </si>
  <si>
    <t>BRASSEUR AMALIA</t>
  </si>
  <si>
    <t>VILLAVERDE ALICIA</t>
  </si>
  <si>
    <t>HALLUX VALGUS</t>
  </si>
  <si>
    <t>TORNILLO BAROUK CLAVI</t>
  </si>
  <si>
    <t>SCRIBANTI SANTINA</t>
  </si>
  <si>
    <t>PLACA PHILO T CANULAD</t>
  </si>
  <si>
    <t>COLLIARD ANDREA</t>
  </si>
  <si>
    <t>OSTEOARTRITIS</t>
  </si>
  <si>
    <t>ACIDO HIALURONICO JERIN</t>
  </si>
  <si>
    <t>AGUIRRES JOAQUIN</t>
  </si>
  <si>
    <t>CLAVO RETROGRADO</t>
  </si>
  <si>
    <t>MAYDANA SANTIAGO</t>
  </si>
  <si>
    <t xml:space="preserve">OJEDA URIEL </t>
  </si>
  <si>
    <t>PLANTILLAS</t>
  </si>
  <si>
    <t>DUARTE FEDERICO</t>
  </si>
  <si>
    <t>SECCION TEN AQ</t>
  </si>
  <si>
    <t>ARPON 4,5</t>
  </si>
  <si>
    <t>ALBORNOZ IVAN</t>
  </si>
  <si>
    <t>CLAVO DHS CLAVO FEMUR</t>
  </si>
  <si>
    <t>PANICALI NICOLAS</t>
  </si>
  <si>
    <t>ENDOBOTON TOR INTER  SET DE SUTURA MEÑISCAL</t>
  </si>
  <si>
    <t>GOROSITO GRISELDA</t>
  </si>
  <si>
    <t>PTC RODILLA DERECHA</t>
  </si>
  <si>
    <t>GAZAGNE LIBERTAD</t>
  </si>
  <si>
    <t>SANCHEZ MARIA</t>
  </si>
  <si>
    <t>SIST DE RODILLA PARA RTR CEMENTADO COM FEM</t>
  </si>
  <si>
    <t>RAMIREZ</t>
  </si>
  <si>
    <t>FORZIATI ANGELA</t>
  </si>
  <si>
    <t>OSTEOTOMIA HV</t>
  </si>
  <si>
    <t>TORNILLO DE HERBERT</t>
  </si>
  <si>
    <t>PROSS DELIA</t>
  </si>
  <si>
    <t xml:space="preserve">PARANÁ </t>
  </si>
  <si>
    <t>SUCARRAT MIGUEL</t>
  </si>
  <si>
    <t>RTR ANATOMICO MODUL</t>
  </si>
  <si>
    <t>RAMALLO MIRTA</t>
  </si>
  <si>
    <t>PTC COTILO DM TALLO LY C</t>
  </si>
  <si>
    <t>AGUILAR MARIA EVA</t>
  </si>
  <si>
    <t>PLACA EDR DOBLE HILERA</t>
  </si>
  <si>
    <t>MORALES IRMA LORENZA</t>
  </si>
  <si>
    <t>WAGNER OLGA</t>
  </si>
  <si>
    <t>AFLOJAMIE URT</t>
  </si>
  <si>
    <t>FRIES RUBEN</t>
  </si>
  <si>
    <t>INFECC PERIPRO</t>
  </si>
  <si>
    <t>CHARVEY ELSA</t>
  </si>
  <si>
    <t>PTR DERECHA</t>
  </si>
  <si>
    <t>CONSTANTE SILVIA</t>
  </si>
  <si>
    <t>PTR IZQUIERDA</t>
  </si>
  <si>
    <t>VENENCIO AURORA</t>
  </si>
  <si>
    <t>PATIÑO DAMARIS</t>
  </si>
  <si>
    <t>ALACANO JUAN</t>
  </si>
  <si>
    <t>GODOY GASTON</t>
  </si>
  <si>
    <t>BOTON AUTOAJUSTABLE</t>
  </si>
  <si>
    <t>MARTINEZ SUSANA</t>
  </si>
  <si>
    <t>PTC COTILO DOBLE M TALLO FEMORAL</t>
  </si>
  <si>
    <t>CARRARA JULIO</t>
  </si>
  <si>
    <t>OSTEOSINTESIS</t>
  </si>
  <si>
    <t>PLACA DHS</t>
  </si>
  <si>
    <t>DEL VALLE ORLANDO</t>
  </si>
  <si>
    <t>AFLOJAMIENTO P</t>
  </si>
  <si>
    <t>PTC DE REVISION</t>
  </si>
  <si>
    <t>PEIRANO PATRICIA</t>
  </si>
  <si>
    <t>PLACA DOBLE HILERA</t>
  </si>
  <si>
    <t>FERNANDEZ MANUELA</t>
  </si>
  <si>
    <t>MELI RIOS</t>
  </si>
  <si>
    <t>MARTINEZ OSCAR</t>
  </si>
  <si>
    <t>LUXOFRACTURA</t>
  </si>
  <si>
    <t>T CANULADOS PLACA 2. 4</t>
  </si>
  <si>
    <t>MONTENEGRO TERESA</t>
  </si>
  <si>
    <t>ART RODILLA</t>
  </si>
  <si>
    <t xml:space="preserve">PTR </t>
  </si>
  <si>
    <t>KLEIN MATILDE</t>
  </si>
  <si>
    <t>SALCEDO KEVIN</t>
  </si>
  <si>
    <t>T INTERF PLUMA DE RADIO BOTON AUTOAJ</t>
  </si>
  <si>
    <t>MARTINEZ MARIA</t>
  </si>
  <si>
    <t>TABORDA ELSA</t>
  </si>
  <si>
    <t>PTR</t>
  </si>
  <si>
    <t>VILLLBA</t>
  </si>
  <si>
    <t>COLMAN ANIBAL</t>
  </si>
  <si>
    <t>PTC</t>
  </si>
  <si>
    <t>OJEDA JOSUE</t>
  </si>
  <si>
    <t>BOTON AUTOAJUSTABLE, TORNILLO PUNTA de radio frec inmobilizador</t>
  </si>
  <si>
    <t>SALAZAR GENOVEVA</t>
  </si>
  <si>
    <t xml:space="preserve">T CANULADOS 3,5 </t>
  </si>
  <si>
    <t>BREGANT ESTELA</t>
  </si>
  <si>
    <t>PERINA GRACIELA</t>
  </si>
  <si>
    <t>FLORES BLANCA</t>
  </si>
  <si>
    <t>DIAZ ESTELA</t>
  </si>
  <si>
    <t>MODENUTTI DEOLINDA</t>
  </si>
  <si>
    <t>PARRA MARIA</t>
  </si>
  <si>
    <t>PLACAS Y TORN PLAC HER</t>
  </si>
  <si>
    <t>PROTESIS DE  HOMBRO</t>
  </si>
  <si>
    <t>LOVERA ERSILIA</t>
  </si>
  <si>
    <t>PTR BISAGRA ROTATORIA</t>
  </si>
  <si>
    <t>GUZZONATO GERARDO</t>
  </si>
  <si>
    <t>OTTO  HECTOR</t>
  </si>
  <si>
    <t>SANABRIA MATIAS</t>
  </si>
  <si>
    <t>INESTABILIDAD DE H</t>
  </si>
  <si>
    <t>ALDECOA NORMA</t>
  </si>
  <si>
    <t>ARTROSIS DE COLUMNA</t>
  </si>
  <si>
    <t>LUCEY  WALTER</t>
  </si>
  <si>
    <t>MODENUTTI CELSO</t>
  </si>
  <si>
    <t>FLORES JOSE</t>
  </si>
  <si>
    <t>NUÑEZ ROSALINDA</t>
  </si>
  <si>
    <t>TORNILLOS MODULARES</t>
  </si>
  <si>
    <t>GAREIS MIGUEL</t>
  </si>
  <si>
    <t>GENUVALGO</t>
  </si>
  <si>
    <t>COMAR NELSON</t>
  </si>
  <si>
    <t>GAREIS TERESA</t>
  </si>
  <si>
    <t>PTR PRIMARIA ANDROMICA</t>
  </si>
  <si>
    <t>FRANCO ALICIA</t>
  </si>
  <si>
    <t>ROCCOSALVO NOEMI</t>
  </si>
  <si>
    <t>CAPURRO HILDA</t>
  </si>
  <si>
    <t>ESPONDIOLISTESIS</t>
  </si>
  <si>
    <t xml:space="preserve">  SIST DE FIJACION LUMBAR</t>
  </si>
  <si>
    <t>CASTRO ANA</t>
  </si>
  <si>
    <t>AGUIAR ELDA</t>
  </si>
  <si>
    <t>P PARCIAL DE CAD BIPOLAR</t>
  </si>
  <si>
    <t>RAMIREZ SUSANA</t>
  </si>
  <si>
    <t>ESTENOSIS</t>
  </si>
  <si>
    <t>4 TORNILLOSPEDICULARES 1 CAGE 2 BARRAS 1 DOSIS DE SUSTITUTO</t>
  </si>
  <si>
    <t>COLONIA AVE</t>
  </si>
  <si>
    <t>CABRERA EXEQUIEL</t>
  </si>
  <si>
    <t>PSEUDOARTROSIS DE TIBIA</t>
  </si>
  <si>
    <t>6 SCHANZ 4 BARRAS DE TUTOR 6 ROTULAS 4 ROT. TUBO IGERTO C</t>
  </si>
  <si>
    <t>ANTUNES MIRTHA</t>
  </si>
  <si>
    <t>PLACAS Y TORNILLOS 2 T HERBERT 2 CLAVIJA</t>
  </si>
  <si>
    <t>VAZQUEZ MIGUEL</t>
  </si>
  <si>
    <t>SEINECKER MIRTA</t>
  </si>
  <si>
    <t>GENU VARU</t>
  </si>
  <si>
    <t>FARIAS CANDIDO</t>
  </si>
  <si>
    <t>SIND MANG ROT</t>
  </si>
  <si>
    <t>2 ARPONES 2,5</t>
  </si>
  <si>
    <t>GONZALEZ ELISA</t>
  </si>
  <si>
    <t>PTC BIPOLAR- PTC CEMENTADA</t>
  </si>
  <si>
    <t>BRONDANI NELIDA</t>
  </si>
  <si>
    <t>PTC PRIMARIA DERECHA</t>
  </si>
  <si>
    <t>PRINCICH ELADIA</t>
  </si>
  <si>
    <t>FX CADERA D</t>
  </si>
  <si>
    <t xml:space="preserve">PTC COTILO DOBLE M    </t>
  </si>
  <si>
    <t>RUIZ DIAZ DIONISIO</t>
  </si>
  <si>
    <t>PTR CON CUÑAS Y V DE REV</t>
  </si>
  <si>
    <t>SAN SALVADOR</t>
  </si>
  <si>
    <t xml:space="preserve">FLORES PEDRO </t>
  </si>
  <si>
    <t>ART RODILLA IZQ</t>
  </si>
  <si>
    <t xml:space="preserve">BELCH MARIA </t>
  </si>
  <si>
    <t>PTC DOBLE MOVILIDAD</t>
  </si>
  <si>
    <t>FERREYRA BRIGIDA</t>
  </si>
  <si>
    <t>SIST DE FIJACION LUMBO S</t>
  </si>
  <si>
    <t>URRUTIA LUIS</t>
  </si>
  <si>
    <t>PTCCOTILO MULTIPERFOR</t>
  </si>
  <si>
    <t>SAUCEDO PETRONA</t>
  </si>
  <si>
    <t>SOSA CLAUDIA</t>
  </si>
  <si>
    <t>VELAZQUEZ RICARDO</t>
  </si>
  <si>
    <t>PTC COTILO DOBLE M</t>
  </si>
  <si>
    <t xml:space="preserve">TORRES NICOLAS </t>
  </si>
  <si>
    <t>OSTEOATRITIS C</t>
  </si>
  <si>
    <t>PTC HIBRIDA</t>
  </si>
  <si>
    <t>SAN BENITO</t>
  </si>
  <si>
    <t>HEINZE MARIO</t>
  </si>
  <si>
    <t>PLEZ SILVIA</t>
  </si>
  <si>
    <t>FX DE T Y P</t>
  </si>
  <si>
    <t xml:space="preserve">PERNOS DE BLOQUEO </t>
  </si>
  <si>
    <t>PRESENTADO ISAIAS</t>
  </si>
  <si>
    <t xml:space="preserve"> TORN CAN PLACA DCP CLAVIJA </t>
  </si>
  <si>
    <t>PSEUDOARTROSIS   DE RADIO</t>
  </si>
  <si>
    <t>SASIA MARIA DEL ROSARIO</t>
  </si>
  <si>
    <t>HALLUX V</t>
  </si>
  <si>
    <t>GAREIS LUIS</t>
  </si>
  <si>
    <t>ENRIQUEZ ELVA</t>
  </si>
  <si>
    <t>FARIAS CARMEN</t>
  </si>
  <si>
    <t>PLACA EDR DOBLE H DISTAL</t>
  </si>
  <si>
    <t>RIOS MATIAS</t>
  </si>
  <si>
    <t>AMPUTACION INFRA</t>
  </si>
  <si>
    <t xml:space="preserve">PILON PROTESIS MI </t>
  </si>
  <si>
    <t>PESOA STELLA MARIS</t>
  </si>
  <si>
    <t>T CANULADOS PLAC TTUBO</t>
  </si>
  <si>
    <t>INFE DE SITIO Q DE CADERA</t>
  </si>
  <si>
    <t>POHL HUGO</t>
  </si>
  <si>
    <t>REYES RAQUEL</t>
  </si>
  <si>
    <t>DE LORENZO LUISA</t>
  </si>
  <si>
    <t>P THOMPSON</t>
  </si>
  <si>
    <t>ESPINOSA FANNY</t>
  </si>
  <si>
    <t xml:space="preserve">C ENDOMEDULAR </t>
  </si>
  <si>
    <t>HOLOTTE FABIANA</t>
  </si>
  <si>
    <t>MAYDANA MARIA ELISA</t>
  </si>
  <si>
    <t>PTR CON VASTAGOS</t>
  </si>
  <si>
    <t>RODRIGUEZ PETRONA</t>
  </si>
  <si>
    <t>MASCAZZINI AXEL</t>
  </si>
  <si>
    <t>PSEUDOARTROSIS   DE FEMUR</t>
  </si>
  <si>
    <t>SET PLACA CONDILEA PLACA DCP INJERTO OSEO 3 TABLAS OSEAS</t>
  </si>
  <si>
    <t>FX DE TOBILLO</t>
  </si>
  <si>
    <t>IEDRO BEATRIZ</t>
  </si>
  <si>
    <t>PTC DOB MOV CLAVO DHS</t>
  </si>
  <si>
    <t>tutortubular ao</t>
  </si>
  <si>
    <t>artrodesis de rodilla</t>
  </si>
  <si>
    <t>Godoy Herman Ludmila</t>
  </si>
  <si>
    <t>GUERRERO RICARDO</t>
  </si>
  <si>
    <t>PEREYRA OTILIA</t>
  </si>
  <si>
    <t>SCHECHTEL RICARDO</t>
  </si>
  <si>
    <t>VIOLA IRIS</t>
  </si>
  <si>
    <t>T BAR CAN 3,0 MOTOR DOS CLAV 2 MM Y 2 DE 1,5 MM</t>
  </si>
  <si>
    <t>JACOB OMAR</t>
  </si>
  <si>
    <t>BREGAND TERESITA</t>
  </si>
  <si>
    <t>T CANU 3,5 4,0 4,5 PLCA TTU</t>
  </si>
  <si>
    <t>GOMEZ AMALIA</t>
  </si>
  <si>
    <t>PTC NO CEMENTADA CAB 32 Y 36</t>
  </si>
  <si>
    <t>FONTANA CARLOS</t>
  </si>
  <si>
    <t>BOTON A T T ROSCA ROMA</t>
  </si>
  <si>
    <t>PEREYRA JULIO</t>
  </si>
  <si>
    <t>PTC D DOBLE MOVILIDAD</t>
  </si>
  <si>
    <t>GOMEZ MATEO</t>
  </si>
  <si>
    <t>BEZERRA RICARDO</t>
  </si>
  <si>
    <t>PTR CON VASTAGO TIBIAL</t>
  </si>
  <si>
    <t>SCHMIDT JOSE</t>
  </si>
  <si>
    <t>DESTORNILLADOR</t>
  </si>
  <si>
    <t>SANTUCHI MIRTA</t>
  </si>
  <si>
    <t>FX PERIPROTESICA</t>
  </si>
  <si>
    <t>4D DE CEMENTO ESPACIADOR</t>
  </si>
  <si>
    <t>NAIVIAT JORGE</t>
  </si>
  <si>
    <t>5PLACAS TOR CORTIC CANULADOS</t>
  </si>
  <si>
    <t>ZABALEGUI JOSE MARIA</t>
  </si>
  <si>
    <t>PIE PLANO</t>
  </si>
  <si>
    <t>2 T CANULADOS 4,5 MM</t>
  </si>
  <si>
    <t>GARCIA RUBEN</t>
  </si>
  <si>
    <t>1 B FEMORAL 1 T INTERFERENCIAL</t>
  </si>
  <si>
    <t>VERGARA CARINA</t>
  </si>
  <si>
    <t>DESGASTE DE MATERIAL PROTESICO</t>
  </si>
  <si>
    <t>CAMBIO DE CONO PARA PR</t>
  </si>
  <si>
    <t>EMERI NESTOR</t>
  </si>
  <si>
    <t>GONALGIA</t>
  </si>
  <si>
    <t>PAPINI AMABILA</t>
  </si>
  <si>
    <t>CABRERA MAGDALENA</t>
  </si>
  <si>
    <t>PTR NACIONAL</t>
  </si>
  <si>
    <t xml:space="preserve">CARBONI LUCIA </t>
  </si>
  <si>
    <t>1 BOTON 1 TORNILLO I</t>
  </si>
  <si>
    <t>RUIZ NATALIA</t>
  </si>
  <si>
    <t>MACIA</t>
  </si>
  <si>
    <t>WELSCH MARTA</t>
  </si>
  <si>
    <t>PTC COTILO D MOV</t>
  </si>
  <si>
    <t>1 BOTON 1 TORNILLO 1 INMOV</t>
  </si>
  <si>
    <t>ESCOUBOUE VICTOR</t>
  </si>
  <si>
    <t>1 PLACA BLOQUEADA</t>
  </si>
  <si>
    <t>BAST OLGA LAURA</t>
  </si>
  <si>
    <t>1 PLACA PHILO</t>
  </si>
  <si>
    <t>GIUSTI MARIA</t>
  </si>
  <si>
    <t xml:space="preserve">FX </t>
  </si>
  <si>
    <t>SET DE VERTEBROPLASTIA</t>
  </si>
  <si>
    <t>GUTIERREZ BASILIO</t>
  </si>
  <si>
    <t>PTR ANDROMICA</t>
  </si>
  <si>
    <t>JUMILLA MARIA</t>
  </si>
  <si>
    <t>PTC BIPOLAR</t>
  </si>
  <si>
    <t>BLANCO LIDIA</t>
  </si>
  <si>
    <t>VERON RAMON</t>
  </si>
  <si>
    <t>LESION DE TENDON R</t>
  </si>
  <si>
    <t>2 ARPONES DE PEEK 3,5 1 TORNILLO 2 ARPONES DE 3,5-5</t>
  </si>
  <si>
    <t>PIANI ANDRES</t>
  </si>
  <si>
    <t>PTC 1 COTILO TRABECULADO TALLO CEMENTADO</t>
  </si>
  <si>
    <t>WILHELM IRMA</t>
  </si>
  <si>
    <t>FX DE D12</t>
  </si>
  <si>
    <t>2 CEMENTOS DE VERTEBROPLASTIA</t>
  </si>
  <si>
    <t>PERALTA IRMA</t>
  </si>
  <si>
    <t>PTC +COTILO D MOV</t>
  </si>
  <si>
    <t>RODRIGUEZ LEO</t>
  </si>
  <si>
    <t>FX DE FEMUR</t>
  </si>
  <si>
    <t>3 CABEZAS DE BANCO DE CADAVERES 1 PLACA DE RECO CON TORNILLOS</t>
  </si>
  <si>
    <t>KOBS JULIO</t>
  </si>
  <si>
    <t>LUXACION PTC</t>
  </si>
  <si>
    <t xml:space="preserve">1 COTILO D MOV </t>
  </si>
  <si>
    <t>GONZALEZ CLAUDIO</t>
  </si>
  <si>
    <t>1 BOTON 1 TORNILLO</t>
  </si>
  <si>
    <t>WERNER SEBASTIAN</t>
  </si>
  <si>
    <t>GUIA TIBIAL 1 PASA SUTURA SUTURE LAZO 1 CLAVIJA ROSCADA</t>
  </si>
  <si>
    <t>SLOMP KARINA</t>
  </si>
  <si>
    <t>PTC NO CEMENTADAD</t>
  </si>
  <si>
    <t>ROMERO ELSA</t>
  </si>
  <si>
    <t>THOMPSON</t>
  </si>
  <si>
    <t>FX HOMBRO</t>
  </si>
  <si>
    <t>PTH</t>
  </si>
  <si>
    <t>VASQUEZ CLAUDIA</t>
  </si>
  <si>
    <t>1 CAGE 1 SUSTITUTO 1DRILL1 SET DE SEPARADORES</t>
  </si>
  <si>
    <t>CARDONA HUGO</t>
  </si>
  <si>
    <t>RUPTURA M ROTADOR</t>
  </si>
  <si>
    <t>RUIZ MARIA ESTER</t>
  </si>
  <si>
    <t>ALVAREZ JOSE</t>
  </si>
  <si>
    <t>ORTMANN LIDIA</t>
  </si>
  <si>
    <t>PTC CEMENTADA COTILO D MOV</t>
  </si>
  <si>
    <t>MORALES SUSANA</t>
  </si>
  <si>
    <t>1 PTC</t>
  </si>
  <si>
    <t>ARMOA NAHUEL</t>
  </si>
  <si>
    <t xml:space="preserve"> 1 ALIF DE PEEK 1 DOSIS DE SUSTITUTO </t>
  </si>
  <si>
    <t>RETAMAL NILDA</t>
  </si>
  <si>
    <t>TORNILLO TIPO BAROUK CANULADOS CLAVIJAS</t>
  </si>
  <si>
    <t>PINO ALMA</t>
  </si>
  <si>
    <t>ARTRODESIS DE T</t>
  </si>
  <si>
    <t>TORNILLOS CANULADOS DE 2 A 4,5</t>
  </si>
  <si>
    <t>SCHLEGEL LIDIA</t>
  </si>
  <si>
    <t>RODRIGUEZ ROSA</t>
  </si>
  <si>
    <t>1 PLACA PHILO TORNILLOS CANULADOS</t>
  </si>
  <si>
    <t>CABRERA ALICIA</t>
  </si>
  <si>
    <t>PTC  COTILO D MOV</t>
  </si>
  <si>
    <t>CORDOBA MARIA MERCEDES</t>
  </si>
  <si>
    <t>CLAVO GAMMA C ENDOMEDULAR</t>
  </si>
  <si>
    <t>MUÑOZ PABLO</t>
  </si>
  <si>
    <t>ROMERO PABLO</t>
  </si>
  <si>
    <t>PSEUDOARTROSIS DE FEMUR</t>
  </si>
  <si>
    <t>1SET DE EXTRACCION DE CLAVO FEMUR PLACAS CONDILEAS</t>
  </si>
  <si>
    <t>LENCINA LUCILA</t>
  </si>
  <si>
    <t>jacob omar</t>
  </si>
  <si>
    <t>coxartrosis</t>
  </si>
  <si>
    <t>4 dosis de cemento</t>
  </si>
  <si>
    <t>QUIROGA ROSA</t>
  </si>
  <si>
    <t>RTC</t>
  </si>
  <si>
    <t xml:space="preserve">PTC </t>
  </si>
  <si>
    <t>COTILO DOBLE MOVILIDAD CAB. 28 MET. VILL. ACEPTADA</t>
  </si>
  <si>
    <t>PLACA DOBLE HD2,7/3,5 MM BL. VILLALBA</t>
  </si>
  <si>
    <t xml:space="preserve"> BL. VILLALBA</t>
  </si>
  <si>
    <t>KLEM BRISA MAILEN</t>
  </si>
  <si>
    <t>ARTROSIS DE CADERA B</t>
  </si>
  <si>
    <t>20 TORNILLOS 2 BARRAS POTENCIALES  ENFOCADOS</t>
  </si>
  <si>
    <t>kobs julio</t>
  </si>
  <si>
    <t>LUXACION DE ART</t>
  </si>
  <si>
    <t>COTILO DOBLE  MOV</t>
  </si>
  <si>
    <t>SPAHN ROBERTO</t>
  </si>
  <si>
    <t>XLIF AUTOBLOQUEADO CON TORNILLO</t>
  </si>
  <si>
    <t>ALDEA BRASILERA</t>
  </si>
  <si>
    <t xml:space="preserve">PEREYRA LIDIA </t>
  </si>
  <si>
    <t xml:space="preserve"> PTC</t>
  </si>
  <si>
    <t>CLAVO GAMMA CORTO Y LARGO</t>
  </si>
  <si>
    <t>RUPTURA LCA</t>
  </si>
  <si>
    <t>BOTON CORTICAL PARA REC LCA</t>
  </si>
  <si>
    <t>LONDERO MARIA</t>
  </si>
  <si>
    <t>FX CADERA DERECHA</t>
  </si>
  <si>
    <t>ALBORNOZ JORGE</t>
  </si>
  <si>
    <t>ROJAS CELINA</t>
  </si>
  <si>
    <t>GONOARTROSIS</t>
  </si>
  <si>
    <t>REMPLAZO TOTAL RODILLA DER</t>
  </si>
  <si>
    <t>RODRIGUEZ DORA</t>
  </si>
  <si>
    <t>CHAMOT KARINA</t>
  </si>
  <si>
    <t>OSTEONECROSIS</t>
  </si>
  <si>
    <t>KUNZI SEBASTIAN</t>
  </si>
  <si>
    <t>RUP MANG ROT</t>
  </si>
  <si>
    <t>2 ARP.</t>
  </si>
  <si>
    <t>MOREIRA BEATRIZ</t>
  </si>
  <si>
    <t>FX FEMUR IZQ</t>
  </si>
  <si>
    <t>CLA END RETRO DE FEMURR ACERROJADO</t>
  </si>
  <si>
    <t>MENDOZA ADELA</t>
  </si>
  <si>
    <t xml:space="preserve">FX DE CADERA </t>
  </si>
  <si>
    <t>FX DE CADERA IZQ</t>
  </si>
  <si>
    <t>AYALA MARIA</t>
  </si>
  <si>
    <t>RAMIREZ ROMAN</t>
  </si>
  <si>
    <t>FX 234 ,MTC DERECHA</t>
  </si>
  <si>
    <t>PL. 2 OMM BL. PL 2.7 BL. CLAV. 1.0 EL</t>
  </si>
  <si>
    <t>TAISNER KAREN</t>
  </si>
  <si>
    <t>FX MUÑECA BI</t>
  </si>
  <si>
    <t>PL. DOBLE HI. DIS 3,5- 2,7 MM PL. DCP 3.5 BL.LC</t>
  </si>
  <si>
    <t>VALIENTE MARCELO</t>
  </si>
  <si>
    <t>RUP LCA</t>
  </si>
  <si>
    <t>BOT. CORT. 1 TORNILLO INTERFERENCIAL</t>
  </si>
  <si>
    <t>LEHONARDT AZUCENA</t>
  </si>
  <si>
    <t>PROT THOMSON STE. HEMOSUCTOR</t>
  </si>
  <si>
    <t>GONZALEZ SILVIA</t>
  </si>
  <si>
    <t>1 DESTORNILLADOR PUN ESTRELLADA</t>
  </si>
  <si>
    <t>CONS VICIOSA VS RET, CON.</t>
  </si>
  <si>
    <t>1 CLAV. TIPO MULLER. CON SET MAS 1 NUEV CL GAMMA</t>
  </si>
  <si>
    <t>IEDRO BARBARA</t>
  </si>
  <si>
    <t>GONOARTROSIS DER E IZQ SEV</t>
  </si>
  <si>
    <t>SIS ROD CEM PTR, CON COMP FEM. CR 12 TALLAS</t>
  </si>
  <si>
    <t>DEMUTTE BEATRIZ</t>
  </si>
  <si>
    <t>SIS DE FIJACION COL. 5 NIV. 10 TOR PED</t>
  </si>
  <si>
    <t xml:space="preserve">IGLESIAS NEYEN </t>
  </si>
  <si>
    <t>FX CLAVICULA IZQUIERDA</t>
  </si>
  <si>
    <t>PLACA ANATOMICA BLOQ. 3.</t>
  </si>
  <si>
    <t xml:space="preserve">VIVAS ALBERTO </t>
  </si>
  <si>
    <t xml:space="preserve">PLACAS DE RECONS. </t>
  </si>
  <si>
    <t>VENECIO URSULA</t>
  </si>
  <si>
    <t>ENDOBOTTON TORNILLO INTER</t>
  </si>
  <si>
    <t>ORZUZA SANTIAGO</t>
  </si>
  <si>
    <t>1 PLACA DOBLE HILERA T 2,7- 3,5</t>
  </si>
  <si>
    <t>CHIMENTO MERCEDES</t>
  </si>
  <si>
    <t>GONATROSIS</t>
  </si>
  <si>
    <t>PTR CEMENTADA CON VASTAGOS</t>
  </si>
  <si>
    <t>YACOB ERCILIA</t>
  </si>
  <si>
    <t>1 ESPACIADOR</t>
  </si>
  <si>
    <t>MACIEL HUMBERTO</t>
  </si>
  <si>
    <t>SOLARO ELSA</t>
  </si>
  <si>
    <t>ARTROSIS DE CADERA</t>
  </si>
  <si>
    <t>PTC COTILO DOBLE MOVILIDAD</t>
  </si>
  <si>
    <t>KRIVUSESKI LIDIA</t>
  </si>
  <si>
    <t>RUPTURA DE MAANGUIT</t>
  </si>
  <si>
    <t>2 ARPONES 5,0 2 ARPONES 2,5</t>
  </si>
  <si>
    <t>MENDOZA ISABEL</t>
  </si>
  <si>
    <t>PLACA EDR BLOQUEADA</t>
  </si>
  <si>
    <t>GOMEZ LUIS ALBERTO</t>
  </si>
  <si>
    <t>MENA ISIDORO</t>
  </si>
  <si>
    <t>AFLOJAMIENTO DE REVISION</t>
  </si>
  <si>
    <t>1 TALLO FEMORAL DE FIJ 1 COTILO NO CEMENTADO 4 UNID DE IJERTO</t>
  </si>
  <si>
    <t>MAYORA LILIANA</t>
  </si>
  <si>
    <t>4 TORNILLOS PEDICULARES 2 BARRAS 1 CAGE 1DRILL 1 HEMOGEL</t>
  </si>
  <si>
    <t>ORTIZ JUAN JOSE</t>
  </si>
  <si>
    <t>SISTEA DE RTR</t>
  </si>
  <si>
    <t>sanchez Juan Pablo</t>
  </si>
  <si>
    <t>pie equino</t>
  </si>
  <si>
    <t>2 set de placas 4 tornillos canulados</t>
  </si>
  <si>
    <t>ESPINDOLA DANIELA</t>
  </si>
  <si>
    <t xml:space="preserve">OSTEOSINTESIS </t>
  </si>
  <si>
    <t>1 EXTRACTOR DE CLAVO</t>
  </si>
  <si>
    <t>DA LUZ ROSA</t>
  </si>
  <si>
    <t>RUEDA RAMON</t>
  </si>
  <si>
    <t>RUP MANGUITO ROT</t>
  </si>
  <si>
    <t>3 ARPONES 3,5</t>
  </si>
  <si>
    <t>ALARCON VERONICA</t>
  </si>
  <si>
    <t>1 TORNILLO 1 BOTON</t>
  </si>
  <si>
    <t>ELLENA LINDA ABRIL</t>
  </si>
  <si>
    <t>MAQUIAVELLO MARIO</t>
  </si>
  <si>
    <t>SME MANGUITO ROT</t>
  </si>
  <si>
    <t>2 ARPONES 5, 0 1 SUTURA DE ALTA RESIST</t>
  </si>
  <si>
    <t xml:space="preserve">GOTTIG PEDRO </t>
  </si>
  <si>
    <t>FX CADERA IZ</t>
  </si>
  <si>
    <t xml:space="preserve">PTC     </t>
  </si>
  <si>
    <t>Monzon Diego</t>
  </si>
  <si>
    <t>Rodriguez Silvana</t>
  </si>
  <si>
    <t>fx adera</t>
  </si>
  <si>
    <t>Paraná</t>
  </si>
  <si>
    <t xml:space="preserve">  </t>
  </si>
  <si>
    <t>Allende Juan Ramon</t>
  </si>
  <si>
    <t>anillo de burch reemplazo de cadera de rev</t>
  </si>
  <si>
    <t>SAUCE DE LUNA</t>
  </si>
  <si>
    <t>Erbes Nelida</t>
  </si>
  <si>
    <t>1 T HERBERT 2,7 Y 3 MM 2 CLAVIJAS 2MM Y DOS 1MM</t>
  </si>
  <si>
    <t>Charpentier  LILIANA</t>
  </si>
  <si>
    <t xml:space="preserve">GENU VARO </t>
  </si>
  <si>
    <t xml:space="preserve">GEIST NORMA </t>
  </si>
  <si>
    <t>RIOS MARIA</t>
  </si>
  <si>
    <t>CLAVO ENDOMEDULAR RETROGRADO DE F</t>
  </si>
  <si>
    <t xml:space="preserve">ALLENDE JUAN </t>
  </si>
  <si>
    <t>ANILLO DE BURCH RTC DE REVISION</t>
  </si>
  <si>
    <t>SMITH ALICIA</t>
  </si>
  <si>
    <t xml:space="preserve">URSINI AGUEDA </t>
  </si>
  <si>
    <t>SCHMLER ROSALIA</t>
  </si>
  <si>
    <t>CLAVO ENDOMEDULAR DE HUMERO</t>
  </si>
  <si>
    <t>MARTINEZ TOMASA</t>
  </si>
  <si>
    <t xml:space="preserve">ARTROSIS DE CADERA </t>
  </si>
  <si>
    <t xml:space="preserve"> PTC HIBRIDA</t>
  </si>
  <si>
    <t xml:space="preserve"> PTC NO CEMENTAADA</t>
  </si>
  <si>
    <t>CURVALE GRACIELA</t>
  </si>
  <si>
    <t>PTR ABISAGRADA</t>
  </si>
  <si>
    <t>ALVAREZ MARIA</t>
  </si>
  <si>
    <t>NETTO RAMON</t>
  </si>
  <si>
    <t>KEMMERER MARIA</t>
  </si>
  <si>
    <t>IBARRA MARIA</t>
  </si>
  <si>
    <t>PLACA DOBLE HILERA DISTAL</t>
  </si>
  <si>
    <t>SORTINO JUAN JOSE</t>
  </si>
  <si>
    <t>Ubal carlos</t>
  </si>
  <si>
    <t>TORTUL GRACIELA</t>
  </si>
  <si>
    <t>LORENZO ANA</t>
  </si>
  <si>
    <t>MENA CELIA</t>
  </si>
  <si>
    <t>MILDENBERGER ADELINA</t>
  </si>
  <si>
    <t>GRANDOLI DORA</t>
  </si>
  <si>
    <t>HALLUX</t>
  </si>
  <si>
    <t>1 PLACA B 1 TORNILLO H</t>
  </si>
  <si>
    <t>PSEUDOARTROSIS</t>
  </si>
  <si>
    <t>PLACA CONDILEA PLACA RECONS CLAVO RETROGRADO</t>
  </si>
  <si>
    <t>FERNANDEZ MONICA</t>
  </si>
  <si>
    <t>PTR CON VASTAGOS Y CUÑAS</t>
  </si>
  <si>
    <t>GAITAN  MARIA DEL CARMEN</t>
  </si>
  <si>
    <t>1T BAROUK 1 CUNULADOS 2 CLAVIJAS 2,0 2 CLAVIJAS 1,5 MM</t>
  </si>
  <si>
    <t>CHIABRANDO MANUEL</t>
  </si>
  <si>
    <t xml:space="preserve">RETAMAL NILDA </t>
  </si>
  <si>
    <t xml:space="preserve">PTC NO CEMENTADA DE FIJACION DISTAL CONICA </t>
  </si>
  <si>
    <t>RAMIREZ MIRTA</t>
  </si>
  <si>
    <t>PTC NO CEMENTADA COTILO MULTIPERFORADO TALLO PULIDO ESPEJO</t>
  </si>
  <si>
    <t>MAYDANA LUIS</t>
  </si>
  <si>
    <t>PTC COTILO NO CEMENTADO</t>
  </si>
  <si>
    <t>RETAMAL ROSA</t>
  </si>
  <si>
    <t>Caceres Jeremias</t>
  </si>
  <si>
    <t>INESTABILIDAD ANTERIOR DE RODILLA</t>
  </si>
  <si>
    <t>1 BOTON AUTOAJUSTABLE 2 T DE TITANIO ROSCA ROMA 1 PUNTA SHAVER 1 P RADIO</t>
  </si>
  <si>
    <t xml:space="preserve">Pereyra Geronima </t>
  </si>
  <si>
    <t>fx cadera</t>
  </si>
  <si>
    <t>MENA NORMA</t>
  </si>
  <si>
    <t xml:space="preserve">Gazagne Libertad </t>
  </si>
  <si>
    <t>Fx cadera</t>
  </si>
  <si>
    <t>ptc thompson</t>
  </si>
  <si>
    <t>ACOSTA ALICIA</t>
  </si>
  <si>
    <t>ARTROSCOPIA</t>
  </si>
  <si>
    <t>PUNTA DE SHAVER 4,5</t>
  </si>
  <si>
    <t>SUAREZ NORA</t>
  </si>
  <si>
    <t>RTR IZQUIERDA</t>
  </si>
  <si>
    <t>MACIAS GABRIEL</t>
  </si>
  <si>
    <t>INFECCION EN CIRUGIA</t>
  </si>
  <si>
    <t>INFECCION PROTESICA</t>
  </si>
  <si>
    <t>SET PARA EXTRACCION</t>
  </si>
  <si>
    <t>Rodriguez Franco</t>
  </si>
  <si>
    <t>1 BOTON 1 TORNILO INT</t>
  </si>
  <si>
    <t>Gualeguay</t>
  </si>
  <si>
    <t>Iarce Gerardo</t>
  </si>
  <si>
    <t>Zarate Brian</t>
  </si>
  <si>
    <t>Echengue Horacio</t>
  </si>
  <si>
    <t xml:space="preserve">luxacion </t>
  </si>
  <si>
    <t>1 endobutton  2 sutura de alta resistencia</t>
  </si>
  <si>
    <t>Godoy Rosalia</t>
  </si>
  <si>
    <t>Fx de humero</t>
  </si>
  <si>
    <t>1 Placa Philos 3,5</t>
  </si>
  <si>
    <t>Kecher Santiago</t>
  </si>
  <si>
    <t>1 Boton 1 Tornillo</t>
  </si>
  <si>
    <t>Martinez Angelina</t>
  </si>
  <si>
    <t xml:space="preserve">RTR   </t>
  </si>
  <si>
    <t>Aracenas Moreno Hugo</t>
  </si>
  <si>
    <t>1BOTON 1 Tornillo</t>
  </si>
  <si>
    <t>villaguay</t>
  </si>
  <si>
    <t xml:space="preserve">Minetti Miguel </t>
  </si>
  <si>
    <t>Genu Varo</t>
  </si>
  <si>
    <t>1 Placa puddu</t>
  </si>
  <si>
    <t>Castillo Norma</t>
  </si>
  <si>
    <t>Coxartrosis</t>
  </si>
  <si>
    <t>1 PTC NO CEMENTADA</t>
  </si>
  <si>
    <t>Rios Nadia</t>
  </si>
  <si>
    <t>INESTABILIDAD EN VARO</t>
  </si>
  <si>
    <t>1 SET DE EXTRACCIO PARA CLAVO DE TIBIA</t>
  </si>
  <si>
    <t>MENA JAVIER</t>
  </si>
  <si>
    <t xml:space="preserve">RODRIGUEZ ELISA </t>
  </si>
  <si>
    <t>OLIVERA GUSTAVO</t>
  </si>
  <si>
    <t>INESTABILIDAD VERTEBRAL</t>
  </si>
  <si>
    <t>4 TORNILLO 2 BARRAS 1 PLIF 1 SUSTITUTO OSEO</t>
  </si>
  <si>
    <t>Sosa Hector</t>
  </si>
  <si>
    <t>ptc de revision no cementada</t>
  </si>
  <si>
    <t xml:space="preserve">Villalba Gloria </t>
  </si>
  <si>
    <t>Gonartrosis</t>
  </si>
  <si>
    <t>RTR</t>
  </si>
  <si>
    <t xml:space="preserve">Gomez Cristina </t>
  </si>
  <si>
    <t>Fx muñeca</t>
  </si>
  <si>
    <t>placa edr hilera distal 2,7/3,5</t>
  </si>
  <si>
    <t>Rios Ramona</t>
  </si>
  <si>
    <t>clavo gamma corto y largo</t>
  </si>
  <si>
    <t>TARABINI ELVIRA</t>
  </si>
  <si>
    <t>1 PLACA DE FEMUR LCP 1 PLAA EN T 4,5 TORNILLOS CANULADOS</t>
  </si>
  <si>
    <t>SPINI BRIAN</t>
  </si>
  <si>
    <t>1 PLACA 2,0 LCP 1 PLACA  2,7 1 PLACA 3,5 MM</t>
  </si>
  <si>
    <t>LINDAO MARY</t>
  </si>
  <si>
    <t>Arce Andres</t>
  </si>
  <si>
    <t>Romero Esteban</t>
  </si>
  <si>
    <t>AMPUTACION SUPRACONDILEA</t>
  </si>
  <si>
    <t>Rodriguez Lidia</t>
  </si>
  <si>
    <t>BERGARA LIASAR</t>
  </si>
  <si>
    <t>LOPEZ JORGE</t>
  </si>
  <si>
    <t>FX DE HUMERO</t>
  </si>
  <si>
    <t>MARTINEZ LIDIA</t>
  </si>
  <si>
    <t>Soñez Angel</t>
  </si>
  <si>
    <t>Diastasis sinfisis</t>
  </si>
  <si>
    <t>5 placas 3,5 4,5 1 t canulado 4,5 1 t cortical 3,5 4,5 1 set de pelvis</t>
  </si>
  <si>
    <t>BAEZ MARIA</t>
  </si>
  <si>
    <t>FX PROXIMAL DE HUMERO</t>
  </si>
  <si>
    <t>1 PLACA PHILOS 1 TORNILLO CANU 3,5 4.5 Y 6.5</t>
  </si>
  <si>
    <t>CHAVEZ SANDRA</t>
  </si>
  <si>
    <t>DAMONTE LAUTARO</t>
  </si>
  <si>
    <t xml:space="preserve">FX FEMUR </t>
  </si>
  <si>
    <t>1 GAMMA 1 T CANULADO 3,5 MM</t>
  </si>
  <si>
    <t>Metz Roger</t>
  </si>
  <si>
    <t>ptc no cementada</t>
  </si>
  <si>
    <t>Maldonado Alexis</t>
  </si>
  <si>
    <t xml:space="preserve">1 TORNILLO TIPO BAROUK </t>
  </si>
  <si>
    <t>LUCAS GONZALEZ</t>
  </si>
  <si>
    <t>Loss Raquel</t>
  </si>
  <si>
    <t>gonalgia</t>
  </si>
  <si>
    <t>Alfaro Ceferina</t>
  </si>
  <si>
    <t>clavo gamma   largo</t>
  </si>
  <si>
    <t>Marchioli Carlos</t>
  </si>
  <si>
    <t>artrosis</t>
  </si>
  <si>
    <t>ptr anatomica</t>
  </si>
  <si>
    <t>Breccia Mirta</t>
  </si>
  <si>
    <t>OSTEOARTRITIS DE CADERA</t>
  </si>
  <si>
    <t>PTC CEMENTADA COTILO DOBLE MOV</t>
  </si>
  <si>
    <t>Fernandez Virginia</t>
  </si>
  <si>
    <t>luxofractura de humero</t>
  </si>
  <si>
    <t>Gonzalez Juan</t>
  </si>
  <si>
    <t>coxalgia</t>
  </si>
  <si>
    <t xml:space="preserve">1 ptc no cementada </t>
  </si>
  <si>
    <t>Arzamendia Rodolfo</t>
  </si>
  <si>
    <t>1 ptr cementada</t>
  </si>
  <si>
    <t>Aguilar Juan</t>
  </si>
  <si>
    <t>Ramirez Victor</t>
  </si>
  <si>
    <t xml:space="preserve">Fx femur </t>
  </si>
  <si>
    <t>1Placa condilea para femur 4,5 1 clavo retrogrado</t>
  </si>
  <si>
    <t>MOLINA MARIA</t>
  </si>
  <si>
    <t>FX PERONE</t>
  </si>
  <si>
    <t>1 PLACA TERCIO TUBO</t>
  </si>
  <si>
    <t>GODETTI MARIA</t>
  </si>
  <si>
    <t>FX DE MUÑECA</t>
  </si>
  <si>
    <t>PLACA edr hilera distal 2,7/3,5</t>
  </si>
  <si>
    <t>GOMEZ PATRICIA</t>
  </si>
  <si>
    <t>INESTABILIDAD LUMBAR</t>
  </si>
  <si>
    <t>1CAGE1DOSIS DE SUSTITUTO 1 SIST DE COLOCACON A PRESTAMO P EVOCADOS</t>
  </si>
  <si>
    <t>RAU JEREMIAS</t>
  </si>
  <si>
    <t>PSEUDOATROSIS</t>
  </si>
  <si>
    <t>1 TUTOR EXTERNO PARA TIBIA</t>
  </si>
  <si>
    <t xml:space="preserve">Colman Gonzalo </t>
  </si>
  <si>
    <t>FX DE RADIO Y CUBITO</t>
  </si>
  <si>
    <t>1 PLACA DCP 3.5</t>
  </si>
  <si>
    <t>GRAL RAMIREZ</t>
  </si>
  <si>
    <t>FX ESPINA TIBIAL DERECHA</t>
  </si>
  <si>
    <t>2 SUTURAS 1 GUIA 1 ATRAPA SUT 1 SIST ANC 1 MECHA CAN 1 BOTON</t>
  </si>
  <si>
    <t>SILVA ISIDRA</t>
  </si>
  <si>
    <t>COUDRON NOEMI</t>
  </si>
  <si>
    <t>LOPEZ ANTONIO</t>
  </si>
  <si>
    <t>INFECCION EN SITIO QX</t>
  </si>
  <si>
    <t>AXT ROMUALDO</t>
  </si>
  <si>
    <t>GAMMA</t>
  </si>
  <si>
    <t>BERNINI MARIA</t>
  </si>
  <si>
    <t>CAMPISTROUS ELSA</t>
  </si>
  <si>
    <t xml:space="preserve">AUBERT GLADYS </t>
  </si>
  <si>
    <t>MONZON STELLA MARIS</t>
  </si>
  <si>
    <t>PHACA PHILOS T CANULADOS</t>
  </si>
  <si>
    <t>CASTRO RUBEN</t>
  </si>
  <si>
    <t>ESPINDOLA ALEXIS</t>
  </si>
  <si>
    <t>PUNTIN MARIA LOURDES</t>
  </si>
  <si>
    <t>ARACENAS MORENO</t>
  </si>
  <si>
    <t>ESCOBAR SILVANA</t>
  </si>
  <si>
    <t>RUP TENDON</t>
  </si>
  <si>
    <t>SANTA CRUZ NICOLAS</t>
  </si>
  <si>
    <t>MIÑO LUCRECIA</t>
  </si>
  <si>
    <t>LUXACION DE CADERA</t>
  </si>
  <si>
    <t>SEGUI</t>
  </si>
  <si>
    <t>MOLINA ALICIA</t>
  </si>
  <si>
    <t>RUIZ DIAZ DAIANA</t>
  </si>
  <si>
    <t>T CANULADO O BAROUK</t>
  </si>
  <si>
    <t>ZATTI OMAR</t>
  </si>
  <si>
    <t>GEA SANCHEZ JOSE</t>
  </si>
  <si>
    <t>3 ARPONES 5MM</t>
  </si>
  <si>
    <t>ACOSTA FERNANDO</t>
  </si>
  <si>
    <t>1 BOTON 1 TORNILLO PUNTA DE SHAVER</t>
  </si>
  <si>
    <t>SUAREZ ELVIRA</t>
  </si>
  <si>
    <t>BERNET YOLANDA</t>
  </si>
  <si>
    <t>1 CLAVO GAMMA</t>
  </si>
  <si>
    <t>Quiroga Brian</t>
  </si>
  <si>
    <t>1 boton 1 tornillo</t>
  </si>
  <si>
    <t>C del Uruguay</t>
  </si>
  <si>
    <t>Muñoz Matias</t>
  </si>
  <si>
    <t>Geist Ramon</t>
  </si>
  <si>
    <t>Pseudoartrosis de tibia</t>
  </si>
  <si>
    <t>1 clavo endomedular 1 destornillador</t>
  </si>
  <si>
    <t>Ojeda Irina</t>
  </si>
  <si>
    <t>Villaguay</t>
  </si>
  <si>
    <t>Galiano Nelida</t>
  </si>
  <si>
    <t>PTC Y COTILO DOBLE MOVILIDAD</t>
  </si>
  <si>
    <t>Ubiedo Maria</t>
  </si>
  <si>
    <t>fx muñeca</t>
  </si>
  <si>
    <t>placa edr doble hilera</t>
  </si>
  <si>
    <t>Romeo Rosa</t>
  </si>
  <si>
    <t>Hallux Valgus</t>
  </si>
  <si>
    <t>1 torn tipo herbert</t>
  </si>
  <si>
    <t>Iris Daiana</t>
  </si>
  <si>
    <t>artrosis periastragalina</t>
  </si>
  <si>
    <t xml:space="preserve">1 clavo de tibia endomedular acerrojado1 placa tercio de tubo </t>
  </si>
  <si>
    <t>Federal</t>
  </si>
  <si>
    <t>Grandoli Micaela</t>
  </si>
  <si>
    <t>1T barouk 2 clavijas 2,0 y 2 1,5 mm</t>
  </si>
  <si>
    <t>Lescano Mari</t>
  </si>
  <si>
    <t>Fx proximal de humero</t>
  </si>
  <si>
    <t>1 placa philos 1 t cnulados 3,4 4,5 6,5 mm</t>
  </si>
  <si>
    <t xml:space="preserve">Palacio Elba </t>
  </si>
  <si>
    <t>PTC CEMENTADA Y COTILO DOBLE MOVILIDAD</t>
  </si>
  <si>
    <t xml:space="preserve">Schmidt Dora </t>
  </si>
  <si>
    <t>Largheri Susana</t>
  </si>
  <si>
    <t>Canulados 3,5 4,0 4,5 placa tercio tubo</t>
  </si>
  <si>
    <t>Aprile Monica</t>
  </si>
  <si>
    <t>PTC NO CEMENTADA PLACA CABLE ALAMBRE, COTILO D MOV</t>
  </si>
  <si>
    <t>CORONEL MARIA</t>
  </si>
  <si>
    <t>PTC DERECHA NO CEMENTADA</t>
  </si>
  <si>
    <t>RODRIGUEZ RAUL</t>
  </si>
  <si>
    <t xml:space="preserve">RTR </t>
  </si>
  <si>
    <t>Brochero Aixa</t>
  </si>
  <si>
    <t>1 clavo endomedular</t>
  </si>
  <si>
    <t>Viale</t>
  </si>
  <si>
    <t>Lell Miriam</t>
  </si>
  <si>
    <t>LUXO FX DE TOBILLO</t>
  </si>
  <si>
    <t>FINUCHI DORA</t>
  </si>
  <si>
    <t>3 TORNILLOS CANULADOS 6,5 MM CON ARANDELA</t>
  </si>
  <si>
    <t>Martinez Marina</t>
  </si>
  <si>
    <t>GONARTROSI</t>
  </si>
  <si>
    <t>ZAPATA GREGORIA</t>
  </si>
  <si>
    <t xml:space="preserve">clavo gamma </t>
  </si>
  <si>
    <t xml:space="preserve">ACOSTA DOMINGA </t>
  </si>
  <si>
    <t>fx de cadera</t>
  </si>
  <si>
    <t xml:space="preserve">MARTINEZ MODESTA </t>
  </si>
  <si>
    <t xml:space="preserve">GARCIA MIRTA </t>
  </si>
  <si>
    <t>FX EXPUESTA CODO IZQ</t>
  </si>
  <si>
    <t xml:space="preserve">PLCA LCP P HUMERO PLACA RECONSTRUCCION T CANULADOS PLACA LCP 2 CLAVIJAS </t>
  </si>
  <si>
    <t>RUP DE CUADRICIPITAL</t>
  </si>
  <si>
    <t>3 ARPONES 5 MM</t>
  </si>
  <si>
    <t>GORO LEONOR</t>
  </si>
  <si>
    <t>CLAVO ENDOMEDULAR PLACA DCP</t>
  </si>
  <si>
    <t>DELBENE STELLA MARIS</t>
  </si>
  <si>
    <t xml:space="preserve">FX TOBILLO </t>
  </si>
  <si>
    <t>TORNILLOS,PLACA 3/1</t>
  </si>
  <si>
    <t>IRASTORZA TERESA</t>
  </si>
  <si>
    <t>MONTI RUEDA GINO</t>
  </si>
  <si>
    <t>PELEGRINI</t>
  </si>
  <si>
    <t>BOTON CORTICAL, TORNILLO</t>
  </si>
  <si>
    <t>MAZZEI EVA MARIA</t>
  </si>
  <si>
    <t>PTC DE HOMBRO</t>
  </si>
  <si>
    <t>HIROZ</t>
  </si>
  <si>
    <t>PORTALUPPI LIRA</t>
  </si>
  <si>
    <t>PRADAL ANGELICA</t>
  </si>
  <si>
    <t>CIARROCA STELLA MARIS</t>
  </si>
  <si>
    <t>RODRIGUEZ ELSA MARTA</t>
  </si>
  <si>
    <t>PTC DE CADERA</t>
  </si>
  <si>
    <t>BRESSAN GRACIELA</t>
  </si>
  <si>
    <t xml:space="preserve">SOSA HILDA </t>
  </si>
  <si>
    <t>BERTA VIDA DEL CARMEN</t>
  </si>
  <si>
    <t>PTC. COTILO.</t>
  </si>
  <si>
    <t>LEDESMA ROSALIA</t>
  </si>
  <si>
    <t>CARDOZO STELLA MARIS</t>
  </si>
  <si>
    <t>LUX PROTESIS CAD</t>
  </si>
  <si>
    <t>TALLO CEMENTADO/ANILLO</t>
  </si>
  <si>
    <t>MULLER HELMA LEA</t>
  </si>
  <si>
    <t>DEMUTTE BEATRIZ PIEDAD</t>
  </si>
  <si>
    <t>ESTRECHO LUMB</t>
  </si>
  <si>
    <t>SISTEMA FIJACION COLUMN</t>
  </si>
  <si>
    <t>SCHONHALS ERNESTO</t>
  </si>
  <si>
    <t>FX DE COLUMNA</t>
  </si>
  <si>
    <t>SET CIFOPLASTIA</t>
  </si>
  <si>
    <t>GILES LUISA MATILDE</t>
  </si>
  <si>
    <t>ALARCON MAXIMA GRE</t>
  </si>
  <si>
    <t>CRUZ NESTOR</t>
  </si>
  <si>
    <t>SIST. RETRACTOR. SIST.LED</t>
  </si>
  <si>
    <t>SCHUNK LUIS</t>
  </si>
  <si>
    <t>DISPLACIA.CAD</t>
  </si>
  <si>
    <t>GAUNA KEVIN</t>
  </si>
  <si>
    <t>Rosales Julio _</t>
  </si>
  <si>
    <t>1 placa puddu</t>
  </si>
  <si>
    <t>Herrera German</t>
  </si>
  <si>
    <t>Lumbalgia</t>
  </si>
  <si>
    <t>4 tornillos 1 plif 1 sustituto oseo</t>
  </si>
  <si>
    <t>Salvetti Silvina</t>
  </si>
  <si>
    <t>Lesion osteocondral de rodilla izq</t>
  </si>
  <si>
    <t>1 set de microfracturas y osaicoplastia para rodilla</t>
  </si>
  <si>
    <t>La Paz</t>
  </si>
  <si>
    <t>Torres Alvaro</t>
  </si>
  <si>
    <t>lca</t>
  </si>
  <si>
    <t>1 boton 2 tornillos de peek 1 arpon knoless 5 mm grampa set de fresaspara lca</t>
  </si>
  <si>
    <t>Victoria</t>
  </si>
  <si>
    <t xml:space="preserve">Monzon Nicolas </t>
  </si>
  <si>
    <t>1 BOTON TIPO KUROSAKA 2 BOTON F</t>
  </si>
  <si>
    <t xml:space="preserve">Rechach Carmen </t>
  </si>
  <si>
    <t>displasia de cadera</t>
  </si>
  <si>
    <t>1 ptc no cementada</t>
  </si>
  <si>
    <t>Herrera</t>
  </si>
  <si>
    <t>Colliar Andrea</t>
  </si>
  <si>
    <t xml:space="preserve">placa tipo tomofix </t>
  </si>
  <si>
    <t>Ruiz Juan Alberto</t>
  </si>
  <si>
    <t>Pie Plano</t>
  </si>
  <si>
    <t>1 placa 2,0 mm y 2,7 mm 1 tornillo de esponjosa can 4,5 mm 1 placa 3,5 mm</t>
  </si>
  <si>
    <t>Cuevas Milton</t>
  </si>
  <si>
    <t>1BOTON 2 TORNILLOS</t>
  </si>
  <si>
    <t>Dominguez Sara</t>
  </si>
  <si>
    <t>Del matto Mirna</t>
  </si>
  <si>
    <t>Fx de cadera</t>
  </si>
  <si>
    <t>clavo gamma</t>
  </si>
  <si>
    <t>Cena Evangelina</t>
  </si>
  <si>
    <t>Fx de muñeca</t>
  </si>
  <si>
    <t>placa edr doble  hilera distal 2,7/3,5 mm</t>
  </si>
  <si>
    <t>Fontana Maria</t>
  </si>
  <si>
    <t>ALBARRACIN BLANCA</t>
  </si>
  <si>
    <t>FACELI ISABEL</t>
  </si>
  <si>
    <t>FX DE PLATILLO TIBIAL</t>
  </si>
  <si>
    <t xml:space="preserve">CANULADOS PLACAS T TERCIO TUBO </t>
  </si>
  <si>
    <t>BERTOLDI LUIS</t>
  </si>
  <si>
    <t>TORNILLO TIPO BAROU CANULADOS 3,0 MM CLAVIJAS 2,0 Y 1,5 MM</t>
  </si>
  <si>
    <t>GARCIA GREGORIO</t>
  </si>
  <si>
    <t>1 RTR</t>
  </si>
  <si>
    <t xml:space="preserve">CANULADOS 6,5 MM </t>
  </si>
  <si>
    <t>FRASCONA JOSE</t>
  </si>
  <si>
    <t>FX DE HOMBRO</t>
  </si>
  <si>
    <t>PROTESIS T DE HOMBRO</t>
  </si>
  <si>
    <t>CALBUCOY JUANA</t>
  </si>
  <si>
    <t>RTR VASTAGOS Y CUÑAS</t>
  </si>
  <si>
    <t>SIBOLDI MARIA</t>
  </si>
  <si>
    <t>RUP DEL MANG ROT</t>
  </si>
  <si>
    <t>2 ARPONES 3,5</t>
  </si>
  <si>
    <t>FONTANA ANA MARIA</t>
  </si>
  <si>
    <t>GRINOVERO MARTA</t>
  </si>
  <si>
    <t xml:space="preserve">1 ESPACIADOR ARTICULADO 3 DOSIS DE CEMENTO CON ANT </t>
  </si>
  <si>
    <t>MANETTI MIGUEL</t>
  </si>
  <si>
    <t>HILDEBRANDT TERESA</t>
  </si>
  <si>
    <t>GAREIS MARIA</t>
  </si>
  <si>
    <t>ORTMAN LIDIA</t>
  </si>
  <si>
    <t>INFECCION PERIPROTESICA</t>
  </si>
  <si>
    <t xml:space="preserve">ESPACIADOR DE CEMENTO CON ANTIBIOTICO 2 DOSIS DE CEMENTO CON ANTIBIOTICO </t>
  </si>
  <si>
    <t>Franco Juana</t>
  </si>
  <si>
    <t>garabentos</t>
  </si>
  <si>
    <t>placa edr doble hilera distal bloqueada 3,5 mm</t>
  </si>
  <si>
    <t>Gauna Ramona</t>
  </si>
  <si>
    <t xml:space="preserve">PTC CEMENTADA COTILO DOBLE MOVILIDAD </t>
  </si>
  <si>
    <t>Giacomini Ruben</t>
  </si>
  <si>
    <t>rtr</t>
  </si>
  <si>
    <t>gonartrosis</t>
  </si>
  <si>
    <t>Directer Catalina</t>
  </si>
  <si>
    <t>clavo endomedular de humero</t>
  </si>
  <si>
    <t>CACERES ALEJANDRA</t>
  </si>
  <si>
    <t>PTC DE REVISION NO CEMENTADA DE FIJACION DISTAL</t>
  </si>
  <si>
    <t>Rodriguez Leo</t>
  </si>
  <si>
    <t>fx femur</t>
  </si>
  <si>
    <t>3 cabezas de banco de femur</t>
  </si>
  <si>
    <t>COXOARTROS</t>
  </si>
  <si>
    <t>TELEFONO</t>
  </si>
  <si>
    <t>PACIENTE</t>
  </si>
  <si>
    <t xml:space="preserve"> ARPONES</t>
  </si>
  <si>
    <t xml:space="preserve"> TORNILLOS CANULADOS </t>
  </si>
  <si>
    <t/>
  </si>
  <si>
    <t>Paciente</t>
  </si>
  <si>
    <t>Edad</t>
  </si>
  <si>
    <t>Cirujano</t>
  </si>
  <si>
    <t>Cirugia</t>
  </si>
  <si>
    <t>Ortopedia</t>
  </si>
  <si>
    <t>Localidad</t>
  </si>
  <si>
    <t>Telefono</t>
  </si>
  <si>
    <t>Material</t>
  </si>
  <si>
    <t>Estado</t>
  </si>
  <si>
    <t>Obra S</t>
  </si>
  <si>
    <t>Etiquetas de fila</t>
  </si>
  <si>
    <t>Total general</t>
  </si>
  <si>
    <t>Etiquetas de columna</t>
  </si>
  <si>
    <t>Cuenta de PACIENTE</t>
  </si>
  <si>
    <t>CESAR MEYNET</t>
  </si>
  <si>
    <t>THOMPSOM</t>
  </si>
  <si>
    <t>CASERES</t>
  </si>
  <si>
    <t>ESTADO</t>
  </si>
  <si>
    <t>O.S</t>
  </si>
  <si>
    <t>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</si>
</sst>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FF00"/>
      <name val="Calibri"/>
      <family val="2"/>
      <scheme val="minor"/>
    </font>
    <font>
      <sz val="8"/>
      <name val="Calibri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14" fontId="4" fillId="5" borderId="0" xfId="0" applyNumberFormat="1" applyFont="1" applyFill="1" applyBorder="1"/>
    <xf numFmtId="0" fontId="4" fillId="5" borderId="0" xfId="0" applyFont="1" applyFill="1" applyBorder="1"/>
    <xf numFmtId="0" fontId="1" fillId="0" borderId="0" xfId="0" applyFont="1" applyBorder="1"/>
    <xf numFmtId="14" fontId="0" fillId="3" borderId="0" xfId="0" applyNumberFormat="1" applyFont="1" applyFill="1" applyBorder="1"/>
    <xf numFmtId="0" fontId="0" fillId="3" borderId="0" xfId="0" applyFont="1" applyFill="1" applyBorder="1"/>
    <xf numFmtId="0" fontId="0" fillId="0" borderId="0" xfId="0" applyBorder="1"/>
    <xf numFmtId="14" fontId="0" fillId="2" borderId="0" xfId="0" applyNumberFormat="1" applyFont="1" applyFill="1" applyBorder="1"/>
    <xf numFmtId="0" fontId="0" fillId="2" borderId="0" xfId="0" applyFont="1" applyFill="1" applyBorder="1"/>
    <xf numFmtId="0" fontId="0" fillId="4" borderId="0" xfId="0" applyFont="1" applyFill="1" applyBorder="1"/>
    <xf numFmtId="14" fontId="0" fillId="4" borderId="0" xfId="0" applyNumberFormat="1" applyFont="1" applyFill="1" applyBorder="1"/>
    <xf numFmtId="0" fontId="0" fillId="2" borderId="0" xfId="0" applyFill="1" applyBorder="1"/>
    <xf numFmtId="14" fontId="0" fillId="0" borderId="0" xfId="0" applyNumberFormat="1" applyBorder="1"/>
    <xf numFmtId="0" fontId="2" fillId="3" borderId="0" xfId="0" applyFont="1" applyFill="1" applyBorder="1"/>
    <xf numFmtId="14" fontId="0" fillId="4" borderId="0" xfId="0" applyNumberFormat="1" applyFont="1" applyFill="1" applyBorder="1" applyAlignment="1">
      <alignment horizontal="right" vertical="center"/>
    </xf>
    <xf numFmtId="14" fontId="0" fillId="4" borderId="0" xfId="0" applyNumberFormat="1" applyFont="1" applyFill="1" applyBorder="1" applyAlignment="1">
      <alignment horizontal="right"/>
    </xf>
    <xf numFmtId="14" fontId="0" fillId="3" borderId="0" xfId="0" applyNumberFormat="1" applyFont="1" applyFill="1" applyBorder="1" applyAlignment="1">
      <alignment horizontal="righ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5" borderId="0" xfId="0" applyNumberFormat="1" applyFill="1"/>
    <xf numFmtId="14" fontId="0" fillId="0" borderId="0" xfId="0" applyNumberFormat="1"/>
    <xf numFmtId="0" fontId="0" fillId="0" borderId="0" xfId="0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</cellXfs>
  <cellStyles count="1">
    <cellStyle name="Normal" xfId="0" builtinId="0"/>
  </cellStyles>
  <dxfs count="211"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0"/>
        </patternFill>
      </fill>
    </dxf>
    <dxf>
      <border outline="0">
        <top style="thin">
          <color indexed="64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A62A9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[VOLUMEN-PACIENTES-REVISADO.xlsm]Obra Social!TablaDinámica1</c:name>
    <c:fmtId val="5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'Obra Social'!$B$20:$B$22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'Obra Social'!$A$23:$A$25</c:f>
              <c:strCache>
                <c:ptCount val="2"/>
                <c:pt idx="0">
                  <c:v>PAMI</c:v>
                </c:pt>
                <c:pt idx="1">
                  <c:v>S/M</c:v>
                </c:pt>
              </c:strCache>
            </c:strRef>
          </c:cat>
          <c:val>
            <c:numRef>
              <c:f>'Obra Social'!$B$23:$B$25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C-4007-8FFD-E738B5325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1858016"/>
        <c:axId val="961857536"/>
      </c:barChart>
      <c:catAx>
        <c:axId val="961858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61857536"/>
        <c:crosses val="autoZero"/>
        <c:auto val="1"/>
        <c:lblAlgn val="ctr"/>
        <c:lblOffset val="100"/>
        <c:noMultiLvlLbl val="0"/>
      </c:catAx>
      <c:valAx>
        <c:axId val="96185753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6185801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0</xdr:row>
          <xdr:rowOff>28575</xdr:rowOff>
        </xdr:from>
        <xdr:to>
          <xdr:col>3</xdr:col>
          <xdr:colOff>752475</xdr:colOff>
          <xdr:row>0</xdr:row>
          <xdr:rowOff>428625</xdr:rowOff>
        </xdr:to>
        <xdr:sp macro="" textlink="">
          <xdr:nvSpPr>
            <xdr:cNvPr id="8193" name="TextBox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0</xdr:row>
          <xdr:rowOff>9525</xdr:rowOff>
        </xdr:from>
        <xdr:to>
          <xdr:col>2</xdr:col>
          <xdr:colOff>0</xdr:colOff>
          <xdr:row>1</xdr:row>
          <xdr:rowOff>9525</xdr:rowOff>
        </xdr:to>
        <xdr:sp macro="" textlink="">
          <xdr:nvSpPr>
            <xdr:cNvPr id="4097" name="Text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704850</xdr:colOff>
      <xdr:row>0</xdr:row>
      <xdr:rowOff>19050</xdr:rowOff>
    </xdr:from>
    <xdr:to>
      <xdr:col>10</xdr:col>
      <xdr:colOff>228600</xdr:colOff>
      <xdr:row>13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eses (FECHA PEDIDO)">
              <a:extLst>
                <a:ext uri="{FF2B5EF4-FFF2-40B4-BE49-F238E27FC236}">
                  <a16:creationId xmlns:a16="http://schemas.microsoft.com/office/drawing/2014/main" id="{AF5459D2-EC25-C795-264E-B9858D67CD0C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PEDID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72225" y="190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180975</xdr:colOff>
      <xdr:row>0</xdr:row>
      <xdr:rowOff>19050</xdr:rowOff>
    </xdr:from>
    <xdr:to>
      <xdr:col>6</xdr:col>
      <xdr:colOff>333375</xdr:colOff>
      <xdr:row>13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ños (FECHA PEDIDO) 1">
              <a:extLst>
                <a:ext uri="{FF2B5EF4-FFF2-40B4-BE49-F238E27FC236}">
                  <a16:creationId xmlns:a16="http://schemas.microsoft.com/office/drawing/2014/main" id="{7EE901D1-59AC-7305-CB8B-60B206FE775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PEDIDO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52950" y="190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0</xdr:row>
      <xdr:rowOff>0</xdr:rowOff>
    </xdr:from>
    <xdr:to>
      <xdr:col>4</xdr:col>
      <xdr:colOff>200025</xdr:colOff>
      <xdr:row>14</xdr:row>
      <xdr:rowOff>76200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54D50260-C2F0-FEF0-BF52-A91B9A7D6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ia Luz" refreshedDate="45733.860315972219" createdVersion="8" refreshedVersion="8" minRefreshableVersion="3" recordCount="853" xr:uid="{C8C70A94-3179-4B9C-A498-3D65A00FCC14}">
  <cacheSource type="worksheet">
    <worksheetSource name="datos"/>
  </cacheSource>
  <cacheFields count="15">
    <cacheField name="FECHA PEDIDO" numFmtId="14">
      <sharedItems containsSemiMixedTypes="0" containsNonDate="0" containsDate="1" containsString="0" minDate="2023-01-02T00:00:00" maxDate="2025-03-18T00:00:00" count="331">
        <d v="2023-05-29T00:00:00"/>
        <d v="2023-12-07T00:00:00"/>
        <d v="2023-01-02T00:00:00"/>
        <d v="2023-01-04T00:00:00"/>
        <d v="2023-03-02T00:00:00"/>
        <d v="2023-03-03T00:00:00"/>
        <d v="2023-03-06T00:00:00"/>
        <d v="2023-03-07T00:00:00"/>
        <d v="2023-03-08T00:00:00"/>
        <d v="2023-03-09T00:00:00"/>
        <d v="2023-03-10T00:00:00"/>
        <d v="2023-03-14T00:00:00"/>
        <d v="2023-03-16T00:00:00"/>
        <d v="2023-03-17T00:00:00"/>
        <d v="2023-03-18T00:00:00"/>
        <d v="2023-03-20T00:00:00"/>
        <d v="2023-03-21T00:00:00"/>
        <d v="2023-03-22T00:00:00"/>
        <d v="2023-03-23T00:00:00"/>
        <d v="2023-03-27T00:00:00"/>
        <d v="2023-03-29T00:00:00"/>
        <d v="2023-03-30T00:00:00"/>
        <d v="2023-03-31T00:00:00"/>
        <d v="2023-04-03T00:00:00"/>
        <d v="2023-04-04T00:00:00"/>
        <d v="2023-04-08T00:00:00"/>
        <d v="2023-04-10T00:00:00"/>
        <d v="2023-04-12T00:00:00"/>
        <d v="2023-04-13T00:00:00"/>
        <d v="2023-04-14T00:00:00"/>
        <d v="2023-04-17T00:00:00"/>
        <d v="2023-04-18T00:00:00"/>
        <d v="2023-04-19T00:00:00"/>
        <d v="2023-04-20T00:00:00"/>
        <d v="2023-04-24T00:00:00"/>
        <d v="2023-04-25T00:00:00"/>
        <d v="2023-04-26T00:00:00"/>
        <d v="2023-04-27T00:00:00"/>
        <d v="2023-04-28T00:00:00"/>
        <d v="2023-04-29T00:00:00"/>
        <d v="2023-05-03T00:00:00"/>
        <d v="2023-05-04T00:00:00"/>
        <d v="2023-05-05T00:00:00"/>
        <d v="2023-05-08T00:00:00"/>
        <d v="2023-05-10T00:00:00"/>
        <d v="2023-05-11T00:00:00"/>
        <d v="2023-05-15T00:00:00"/>
        <d v="2023-05-16T00:00:00"/>
        <d v="2023-05-18T00:00:00"/>
        <d v="2023-05-22T00:00:00"/>
        <d v="2023-05-23T00:00:00"/>
        <d v="2023-05-24T00:00:00"/>
        <d v="2023-05-30T00:00:00"/>
        <d v="2023-06-01T00:00:00"/>
        <d v="2023-06-02T00:00:00"/>
        <d v="2023-06-05T00:00:00"/>
        <d v="2023-06-06T00:00:00"/>
        <d v="2023-06-08T00:00:00"/>
        <d v="2023-06-09T00:00:00"/>
        <d v="2023-06-12T00:00:00"/>
        <d v="2023-06-13T00:00:00"/>
        <d v="2023-06-15T00:00:00"/>
        <d v="2023-06-22T00:00:00"/>
        <d v="2023-06-26T00:00:00"/>
        <d v="2023-06-29T00:00:00"/>
        <d v="2023-06-30T00:00:00"/>
        <d v="2023-07-03T00:00:00"/>
        <d v="2023-07-04T00:00:00"/>
        <d v="2023-07-05T00:00:00"/>
        <d v="2023-07-06T00:00:00"/>
        <d v="2023-07-07T00:00:00"/>
        <d v="2023-08-02T00:00:00"/>
        <d v="2023-08-03T00:00:00"/>
        <d v="2023-08-07T00:00:00"/>
        <d v="2023-08-10T00:00:00"/>
        <d v="2023-08-11T00:00:00"/>
        <d v="2023-08-16T00:00:00"/>
        <d v="2023-08-17T00:00:00"/>
        <d v="2023-08-18T00:00:00"/>
        <d v="2023-08-19T00:00:00"/>
        <d v="2023-08-22T00:00:00"/>
        <d v="2023-08-24T00:00:00"/>
        <d v="2023-08-28T00:00:00"/>
        <d v="2023-08-29T00:00:00"/>
        <d v="2023-08-31T00:00:00"/>
        <d v="2023-09-01T00:00:00"/>
        <d v="2023-09-06T00:00:00"/>
        <d v="2023-09-07T00:00:00"/>
        <d v="2023-09-08T00:00:00"/>
        <d v="2023-09-11T00:00:00"/>
        <d v="2023-09-12T00:00:00"/>
        <d v="2023-09-13T00:00:00"/>
        <d v="2023-09-14T00:00:00"/>
        <d v="2023-09-15T00:00:00"/>
        <d v="2023-09-18T00:00:00"/>
        <d v="2023-09-19T00:00:00"/>
        <d v="2023-09-21T00:00:00"/>
        <d v="2023-09-22T00:00:00"/>
        <d v="2023-09-26T00:00:00"/>
        <d v="2023-09-27T00:00:00"/>
        <d v="2023-09-28T00:00:00"/>
        <d v="2023-09-29T00:00:00"/>
        <d v="2023-11-06T00:00:00"/>
        <d v="2023-11-07T00:00:00"/>
        <d v="2023-11-09T00:00:00"/>
        <d v="2023-11-10T00:00:00"/>
        <d v="2023-11-13T00:00:00"/>
        <d v="2023-11-14T00:00:00"/>
        <d v="2023-11-16T00:00:00"/>
        <d v="2023-11-17T00:00:00"/>
        <d v="2023-11-21T00:00:00"/>
        <d v="2023-11-23T00:00:00"/>
        <d v="2023-11-24T00:00:00"/>
        <d v="2023-11-27T00:00:00"/>
        <d v="2023-11-28T00:00:00"/>
        <d v="2023-11-30T00:00:00"/>
        <d v="2023-12-04T00:00:00"/>
        <d v="2023-12-06T00:00:00"/>
        <d v="2023-12-11T00:00:00"/>
        <d v="2023-12-12T00:00:00"/>
        <d v="2023-12-13T00:00:00"/>
        <d v="2023-12-15T00:00:00"/>
        <d v="2023-12-18T00:00:00"/>
        <d v="2023-12-20T00:00:00"/>
        <d v="2023-12-21T00:00:00"/>
        <d v="2023-12-22T00:00:00"/>
        <d v="2023-12-26T00:00:00"/>
        <d v="2024-01-02T00:00:00"/>
        <d v="2024-01-04T00:00:00"/>
        <d v="2024-01-05T00:00:00"/>
        <d v="2024-01-08T00:00:00"/>
        <d v="2024-01-10T00:00:00"/>
        <d v="2024-01-11T00:00:00"/>
        <d v="2024-01-16T00:00:00"/>
        <d v="2024-01-18T00:00:00"/>
        <d v="2024-01-22T00:00:00"/>
        <d v="2024-01-23T00:00:00"/>
        <d v="2024-01-25T00:00:00"/>
        <d v="2024-01-26T00:00:00"/>
        <d v="2024-01-31T00:00:00"/>
        <d v="2024-02-01T00:00:00"/>
        <d v="2024-02-05T00:00:00"/>
        <d v="2024-02-06T00:00:00"/>
        <d v="2024-02-07T00:00:00"/>
        <d v="2024-02-08T00:00:00"/>
        <d v="2024-02-09T00:00:00"/>
        <d v="2024-02-15T00:00:00"/>
        <d v="2024-02-16T00:00:00"/>
        <d v="2024-02-20T00:00:00"/>
        <d v="2024-02-21T00:00:00"/>
        <d v="2024-02-22T00:00:00"/>
        <d v="2024-02-26T00:00:00"/>
        <d v="2024-02-27T00:00:00"/>
        <d v="2024-02-29T00:00:00"/>
        <d v="2024-03-01T00:00:00"/>
        <d v="2024-03-04T00:00:00"/>
        <d v="2024-03-06T00:00:00"/>
        <d v="2024-03-07T00:00:00"/>
        <d v="2024-03-08T00:00:00"/>
        <d v="2024-03-11T00:00:00"/>
        <d v="2024-03-12T00:00:00"/>
        <d v="2024-03-13T00:00:00"/>
        <d v="2024-03-25T00:00:00"/>
        <d v="2024-03-26T00:00:00"/>
        <d v="2024-03-27T00:00:00"/>
        <d v="2024-04-03T00:00:00"/>
        <d v="2024-04-04T00:00:00"/>
        <d v="2024-04-05T00:00:00"/>
        <d v="2024-04-08T00:00:00"/>
        <d v="2024-04-10T00:00:00"/>
        <d v="2024-04-11T00:00:00"/>
        <d v="2024-04-12T00:00:00"/>
        <d v="2024-04-15T00:00:00"/>
        <d v="2024-04-16T00:00:00"/>
        <d v="2024-04-17T00:00:00"/>
        <d v="2024-04-18T00:00:00"/>
        <d v="2024-04-24T00:00:00"/>
        <d v="2024-04-25T00:00:00"/>
        <d v="2024-04-26T00:00:00"/>
        <d v="2024-04-27T00:00:00"/>
        <d v="2024-05-02T00:00:00"/>
        <d v="2024-05-03T00:00:00"/>
        <d v="2024-05-06T00:00:00"/>
        <d v="2024-05-07T00:00:00"/>
        <d v="2024-05-09T00:00:00"/>
        <d v="2024-05-15T00:00:00"/>
        <d v="2024-05-17T00:00:00"/>
        <d v="2024-05-21T00:00:00"/>
        <d v="2024-05-22T00:00:00"/>
        <d v="2024-05-24T00:00:00"/>
        <d v="2024-05-25T00:00:00"/>
        <d v="2024-05-26T00:00:00"/>
        <d v="2024-05-31T00:00:00"/>
        <d v="2024-06-03T00:00:00"/>
        <d v="2024-06-05T00:00:00"/>
        <d v="2024-06-07T00:00:00"/>
        <d v="2024-06-10T00:00:00"/>
        <d v="2024-06-11T00:00:00"/>
        <d v="2024-06-12T00:00:00"/>
        <d v="2024-06-13T00:00:00"/>
        <d v="2024-06-18T00:00:00"/>
        <d v="2024-06-19T00:00:00"/>
        <d v="2024-06-20T00:00:00"/>
        <d v="2024-06-25T00:00:00"/>
        <d v="2024-06-26T00:00:00"/>
        <d v="2024-06-28T00:00:00"/>
        <d v="2024-07-08T00:00:00"/>
        <d v="2024-07-12T00:00:00"/>
        <d v="2024-07-15T00:00:00"/>
        <d v="2024-07-17T00:00:00"/>
        <d v="2024-07-18T00:00:00"/>
        <d v="2024-07-22T00:00:00"/>
        <d v="2024-07-24T00:00:00"/>
        <d v="2024-07-26T00:00:00"/>
        <d v="2024-07-30T00:00:00"/>
        <d v="2024-08-01T00:00:00"/>
        <d v="2024-08-02T00:00:00"/>
        <d v="2024-08-08T00:00:00"/>
        <d v="2024-08-12T00:00:00"/>
        <d v="2024-08-13T00:00:00"/>
        <d v="2024-08-14T00:00:00"/>
        <d v="2024-08-15T00:00:00"/>
        <d v="2024-08-16T00:00:00"/>
        <d v="2024-08-19T00:00:00"/>
        <d v="2024-08-23T00:00:00"/>
        <d v="2024-08-26T00:00:00"/>
        <d v="2024-08-27T00:00:00"/>
        <d v="2024-08-28T00:00:00"/>
        <d v="2024-08-30T00:00:00"/>
        <d v="2024-09-01T00:00:00"/>
        <d v="2024-09-02T00:00:00"/>
        <d v="2024-09-03T00:00:00"/>
        <d v="2024-09-04T00:00:00"/>
        <d v="2024-09-05T00:00:00"/>
        <d v="2024-09-06T00:00:00"/>
        <d v="2024-09-10T00:00:00"/>
        <d v="2024-09-13T00:00:00"/>
        <d v="2024-09-16T00:00:00"/>
        <d v="2024-09-17T00:00:00"/>
        <d v="2024-09-18T00:00:00"/>
        <d v="2024-09-19T00:00:00"/>
        <d v="2024-09-24T00:00:00"/>
        <d v="2024-09-25T00:00:00"/>
        <d v="2024-09-27T00:00:00"/>
        <d v="2024-09-30T00:00:00"/>
        <d v="2024-10-01T00:00:00"/>
        <d v="2024-10-02T00:00:00"/>
        <d v="2024-10-03T00:00:00"/>
        <d v="2024-10-04T00:00:00"/>
        <d v="2024-10-08T00:00:00"/>
        <d v="2024-10-09T00:00:00"/>
        <d v="2024-10-10T00:00:00"/>
        <d v="2024-10-14T00:00:00"/>
        <d v="2024-10-15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8T00:00:00"/>
        <d v="2024-10-30T00:00:00"/>
        <d v="2024-10-31T00:00:00"/>
        <d v="2024-11-01T00:00:00"/>
        <d v="2024-11-02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5T00:00:00"/>
        <d v="2024-11-20T00:00:00"/>
        <d v="2024-11-21T00:00:00"/>
        <d v="2024-11-22T00:00:00"/>
        <d v="2024-11-25T00:00:00"/>
        <d v="2024-11-26T00:00:00"/>
        <d v="2024-11-27T00:00:00"/>
        <d v="2024-11-28T00:00:00"/>
        <d v="2024-11-29T00:00:00"/>
        <d v="2024-12-02T00:00:00"/>
        <d v="2024-12-03T00:00:00"/>
        <d v="2024-12-04T00:00:00"/>
        <d v="2024-12-05T00:00:00"/>
        <d v="2024-12-06T00:00:00"/>
        <d v="2024-12-09T00:00:00"/>
        <d v="2024-12-11T00:00:00"/>
        <d v="2024-12-12T00:00:00"/>
        <d v="2024-12-13T00:00:00"/>
        <d v="2024-12-16T00:00:00"/>
        <d v="2024-12-18T00:00:00"/>
        <d v="2024-12-19T00:00:00"/>
        <d v="2024-12-20T00:00:00"/>
        <d v="2024-12-26T00:00:00"/>
        <d v="2024-12-27T00:00:00"/>
        <d v="2025-01-02T00:00:00"/>
        <d v="2025-01-06T00:00:00"/>
        <d v="2025-01-08T00:00:00"/>
        <d v="2025-01-09T00:00:00"/>
        <d v="2025-01-10T00:00:00"/>
        <d v="2025-01-13T00:00:00"/>
        <d v="2025-01-14T00:00:00"/>
        <d v="2025-01-16T00:00:00"/>
        <d v="2025-01-17T00:00:00"/>
        <d v="2025-01-18T00:00:00"/>
        <d v="2025-01-20T00:00:00"/>
        <d v="2025-01-29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6T00:00:00"/>
        <d v="2025-02-17T00:00:00"/>
        <d v="2025-02-18T00:00:00"/>
        <d v="2025-02-19T00:00:00"/>
        <d v="2025-02-20T00:00:00"/>
        <d v="2025-02-21T00:00:00"/>
        <d v="2025-02-22T00:00:00"/>
        <d v="2025-02-27T00:00:00"/>
        <d v="2025-02-28T00:00:00"/>
        <d v="2025-03-05T00:00:00"/>
        <d v="2025-03-06T00:00:00"/>
        <d v="2025-03-07T00:00:00"/>
        <d v="2025-03-17T00:00:00"/>
      </sharedItems>
      <fieldGroup par="14"/>
    </cacheField>
    <cacheField name="PACIENTE" numFmtId="0">
      <sharedItems containsBlank="1" containsMixedTypes="1" containsNumber="1" containsInteger="1" minValue="0" maxValue="0"/>
    </cacheField>
    <cacheField name="EDAD" numFmtId="0">
      <sharedItems containsString="0" containsBlank="1" containsNumber="1" containsInteger="1" minValue="15" maxValue="99"/>
    </cacheField>
    <cacheField name="DNI" numFmtId="0">
      <sharedItems containsString="0" containsBlank="1" containsNumber="1" containsInteger="1" minValue="234686" maxValue="365577535"/>
    </cacheField>
    <cacheField name="CIRUJANO" numFmtId="0">
      <sharedItems containsBlank="1"/>
    </cacheField>
    <cacheField name="CIRUGIA" numFmtId="0">
      <sharedItems containsBlank="1"/>
    </cacheField>
    <cacheField name="MATERIAL" numFmtId="0">
      <sharedItems containsBlank="1"/>
    </cacheField>
    <cacheField name="ORTOPEDIA" numFmtId="0">
      <sharedItems containsBlank="1"/>
    </cacheField>
    <cacheField name="ESTADO " numFmtId="0">
      <sharedItems containsBlank="1"/>
    </cacheField>
    <cacheField name="LOCALIDAD" numFmtId="0">
      <sharedItems containsBlank="1"/>
    </cacheField>
    <cacheField name="OBRA SOCIAL" numFmtId="0">
      <sharedItems containsBlank="1" containsMixedTypes="1" containsNumber="1" containsInteger="1" minValue="0" maxValue="0" count="5">
        <s v="S/M"/>
        <s v="PAMI"/>
        <s v="PROFE "/>
        <m/>
        <n v="0" u="1"/>
      </sharedItems>
    </cacheField>
    <cacheField name="TELEFONO" numFmtId="0">
      <sharedItems containsBlank="1" containsMixedTypes="1" containsNumber="1" containsInteger="1" minValue="4" maxValue="3512123222"/>
    </cacheField>
    <cacheField name="Meses (FECHA PEDIDO)" numFmtId="0" databaseField="0">
      <fieldGroup base="0">
        <rangePr groupBy="months" startDate="2023-01-02T00:00:00" endDate="2025-03-18T00:00:00"/>
        <groupItems count="14">
          <s v="&lt;2/1/2023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8/3/2025"/>
        </groupItems>
      </fieldGroup>
    </cacheField>
    <cacheField name="Trimestres (FECHA PEDIDO)" numFmtId="0" databaseField="0">
      <fieldGroup base="0">
        <rangePr groupBy="quarters" startDate="2023-01-02T00:00:00" endDate="2025-03-18T00:00:00"/>
        <groupItems count="6">
          <s v="&lt;2/1/2023"/>
          <s v="Trim.1"/>
          <s v="Trim.2"/>
          <s v="Trim.3"/>
          <s v="Trim.4"/>
          <s v="&gt;18/3/2025"/>
        </groupItems>
      </fieldGroup>
    </cacheField>
    <cacheField name="Años (FECHA PEDIDO)" numFmtId="0" databaseField="0">
      <fieldGroup base="0">
        <rangePr groupBy="years" startDate="2023-01-02T00:00:00" endDate="2025-03-18T00:00:00"/>
        <groupItems count="5">
          <s v="&lt;2/1/2023"/>
          <s v="2023"/>
          <s v="2024"/>
          <s v="2025"/>
          <s v="&gt;18/3/2025"/>
        </groupItems>
      </fieldGroup>
    </cacheField>
  </cacheFields>
  <extLst>
    <ext xmlns:x14="http://schemas.microsoft.com/office/spreadsheetml/2009/9/main" uri="{725AE2AE-9491-48be-B2B4-4EB974FC3084}">
      <x14:pivotCacheDefinition pivotCacheId="147107271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3">
  <r>
    <x v="0"/>
    <s v="AMAYA MARIA "/>
    <n v="32"/>
    <n v="35840033"/>
    <s v="MERLINI"/>
    <s v="FX CODO"/>
    <s v="PLACA DOBLE VOLAR "/>
    <m/>
    <s v="INICIADO"/>
    <s v="PARANÁ"/>
    <x v="0"/>
    <m/>
  </r>
  <r>
    <x v="1"/>
    <s v="GIMENEZ ROSA "/>
    <n v="39"/>
    <n v="31003884"/>
    <s v="YACOMO"/>
    <s v="LCA "/>
    <s v="TOR/BOTON CORT"/>
    <m/>
    <s v="INICIADO"/>
    <s v="VILLAGUAY"/>
    <x v="0"/>
    <m/>
  </r>
  <r>
    <x v="2"/>
    <s v="VILCHE YAIR"/>
    <n v="21"/>
    <n v="44702671"/>
    <s v="NARVAEZ"/>
    <s v="AMPUTACION "/>
    <s v="PILON TIBIAL "/>
    <m/>
    <s v="INICIADO "/>
    <s v="PARANÁ"/>
    <x v="0"/>
    <m/>
  </r>
  <r>
    <x v="3"/>
    <s v="AGUIRRE BLANCA "/>
    <n v="73"/>
    <n v="6293319"/>
    <s v="GARCIA VITOR"/>
    <s v="AFLOJ PROTS"/>
    <s v="PTC REVIS/COTILO DOBLE "/>
    <s v="VILLALBA"/>
    <s v="ACEPTADO"/>
    <s v="PARANÁ"/>
    <x v="1"/>
    <m/>
  </r>
  <r>
    <x v="4"/>
    <s v="REY MARIA    "/>
    <n v="69"/>
    <n v="5219364"/>
    <s v="RESIDENTES"/>
    <s v="FX MUÑECA"/>
    <s v="P. VOLAR "/>
    <s v="IP MAGNA "/>
    <s v="ACEPTADO"/>
    <s v="PARANÁ"/>
    <x v="1"/>
    <m/>
  </r>
  <r>
    <x v="4"/>
    <s v="LOPEZ MANUEL "/>
    <n v="75"/>
    <n v="80864646"/>
    <s v="STOPELLO"/>
    <s v="RODILLA"/>
    <s v="PTR  DE REVISION   DER "/>
    <s v="VILLALBA"/>
    <s v="ACEPTADO"/>
    <s v="PARANÁ"/>
    <x v="1"/>
    <n v="3512123222"/>
  </r>
  <r>
    <x v="4"/>
    <s v="REYNAGA RUBEN "/>
    <n v="35"/>
    <n v="40186617"/>
    <s v="GARCIA VITOR"/>
    <s v="CADERA "/>
    <s v="PTC CEMENTADA / COTILO"/>
    <m/>
    <s v="INICIADO"/>
    <s v="FEDERACION "/>
    <x v="0"/>
    <m/>
  </r>
  <r>
    <x v="4"/>
    <s v="IGARTUA VICTOR "/>
    <n v="32"/>
    <n v="36269181"/>
    <s v="GARCIA VITOR"/>
    <s v="CADERA "/>
    <s v="PTC CEMENTADA / COTILO"/>
    <m/>
    <s v="INICIADO"/>
    <s v="PARANÁ"/>
    <x v="0"/>
    <m/>
  </r>
  <r>
    <x v="5"/>
    <s v="PEREZ ELDA "/>
    <n v="87"/>
    <n v="2815286"/>
    <s v="MERLINI"/>
    <s v="FX CADERA"/>
    <s v="PRT CADERA BIPOLAR "/>
    <s v="VILLALBA "/>
    <s v="ACEPTADO"/>
    <s v="PARANÁ"/>
    <x v="1"/>
    <m/>
  </r>
  <r>
    <x v="6"/>
    <s v="FRANZ GERARDO"/>
    <n v="18"/>
    <n v="45542988"/>
    <s v="MERLINI"/>
    <s v="TIBIA Y PERONE "/>
    <s v="PLACA DCP/CLAVIJAS"/>
    <m/>
    <s v="ACEPTADO"/>
    <s v="PARANÁ"/>
    <x v="0"/>
    <m/>
  </r>
  <r>
    <x v="6"/>
    <s v="RUBERTO MELISA"/>
    <n v="28"/>
    <n v="38769426"/>
    <s v="MERLINI"/>
    <s v="MANO DER"/>
    <s v="P. DISTAL /TORN"/>
    <m/>
    <s v="INICIADO"/>
    <s v="PARANÁ"/>
    <x v="0"/>
    <m/>
  </r>
  <r>
    <x v="6"/>
    <s v="DETLER RICARDO"/>
    <n v="39"/>
    <n v="3036082"/>
    <s v="MERLINI"/>
    <s v="FX MUÑECA"/>
    <s v="PLACA DOBLE"/>
    <m/>
    <s v="INICIADO"/>
    <s v="PARANÁ"/>
    <x v="0"/>
    <m/>
  </r>
  <r>
    <x v="7"/>
    <s v="BALLOHORTHS ELSA"/>
    <n v="82"/>
    <n v="39326955"/>
    <s v="GARCIA VITOR"/>
    <s v="CADERA "/>
    <s v="PTC CEMENTADA / COTILO"/>
    <s v="VILLALBA"/>
    <s v="ACEPTADO"/>
    <s v="PARANÁ"/>
    <x v="1"/>
    <m/>
  </r>
  <r>
    <x v="8"/>
    <s v="BRASESCO MIRTA "/>
    <n v="64"/>
    <n v="12648217"/>
    <s v="MERLINI"/>
    <s v="FX TIBIA Y PERONE "/>
    <s v="PLACA DCP/CLAVO ACERR."/>
    <s v="VILLALBA"/>
    <s v="ACEPTADO"/>
    <s v="PARANÁ"/>
    <x v="1"/>
    <m/>
  </r>
  <r>
    <x v="9"/>
    <s v="CHIA HUGO"/>
    <n v="81"/>
    <n v="6246821"/>
    <s v="MERLINI"/>
    <s v="FX CADERA IZQ "/>
    <s v="CLAVO GAMMA"/>
    <s v="VILLALBA"/>
    <s v="OPERADO"/>
    <s v="PARANÁ"/>
    <x v="1"/>
    <m/>
  </r>
  <r>
    <x v="9"/>
    <s v="SANDOVAL JUAN "/>
    <n v="78"/>
    <n v="4607779"/>
    <s v="GARCIA VITOR"/>
    <s v="DET.ACET.MASIVO"/>
    <s v="PTC CEMENTADA / COTILO"/>
    <s v="VILLALBA"/>
    <s v="ACEPTADO"/>
    <s v="PARANÁ"/>
    <x v="1"/>
    <n v="154661141"/>
  </r>
  <r>
    <x v="9"/>
    <s v="ORTIZ MARIA E."/>
    <n v="77"/>
    <n v="5257540"/>
    <s v="GARCIA VITOR"/>
    <s v="COXARTROSIS"/>
    <s v="PTC CEMENTADA / COTILO"/>
    <s v="VILLALBA"/>
    <s v="ACEPTADO"/>
    <s v="PARANÁ"/>
    <x v="1"/>
    <n v="3434621560"/>
  </r>
  <r>
    <x v="9"/>
    <s v="ALBORNOZ JORGE "/>
    <n v="68"/>
    <n v="11246026"/>
    <s v="MERLINI"/>
    <s v="FX CADERA IZQ "/>
    <s v="PTC CEMENTADA / COTILO"/>
    <s v="IP MAGNA "/>
    <s v="OPERADO"/>
    <s v="PARANÁ"/>
    <x v="1"/>
    <m/>
  </r>
  <r>
    <x v="9"/>
    <s v="VARGAS ANA MARIA "/>
    <n v="71"/>
    <n v="10197722"/>
    <s v="STOPELLO"/>
    <s v="ARTR ROD DER"/>
    <s v="PTR ANATOMICA "/>
    <s v="VILLALBA"/>
    <s v="ACEPTADO"/>
    <s v="PARANÁ"/>
    <x v="1"/>
    <m/>
  </r>
  <r>
    <x v="10"/>
    <s v="NIEVAS CARLOS "/>
    <m/>
    <n v="25468632"/>
    <s v="GARCIA VITOR"/>
    <s v="L.T.ROTULIANO"/>
    <s v="TORNILLOS /A.KNOTLESS"/>
    <m/>
    <s v="ACEPTADO"/>
    <s v="NOGOYA"/>
    <x v="0"/>
    <n v="3435617122"/>
  </r>
  <r>
    <x v="10"/>
    <s v="PRADELA  FABIAN "/>
    <n v="35"/>
    <n v="31232570"/>
    <s v="GARCIA VITOR"/>
    <s v="L.T.ROTULIANO"/>
    <s v="TORNILLOS /A.KNOTLESS"/>
    <m/>
    <s v="ACEPTADO"/>
    <s v="PARANÁ"/>
    <x v="0"/>
    <n v="3434259271"/>
  </r>
  <r>
    <x v="10"/>
    <s v="ANDERI ROCIO BELEN"/>
    <n v="35"/>
    <n v="33349482"/>
    <s v="GARCIA VITOR"/>
    <s v="GONARTROSIS"/>
    <s v="PT DE ODILLA DER"/>
    <m/>
    <s v="INICIADO"/>
    <s v="COLON "/>
    <x v="0"/>
    <m/>
  </r>
  <r>
    <x v="11"/>
    <s v="GIMENEZ MATIAS "/>
    <n v="42"/>
    <n v="27813463"/>
    <s v="MERLINI"/>
    <s v="FX MUÑECA"/>
    <s v="PLACA DOBLE"/>
    <m/>
    <s v="INICIADO "/>
    <s v="PARANÁ"/>
    <x v="0"/>
    <m/>
  </r>
  <r>
    <x v="11"/>
    <s v="AIMONE ANTONELA "/>
    <n v="31"/>
    <n v="365577535"/>
    <s v="MERLINI"/>
    <s v="FX CODO"/>
    <s v="P. ANAT. ARP. "/>
    <m/>
    <s v="INICIADO"/>
    <s v="PARANÁ"/>
    <x v="0"/>
    <n v="3436638740"/>
  </r>
  <r>
    <x v="11"/>
    <s v="TERSICH ERMELINDA "/>
    <n v="92"/>
    <n v="5347639"/>
    <s v="MERLINI"/>
    <s v="FX CADERA IZQ "/>
    <s v="CLAVO GAMMA"/>
    <s v="VILLALBA"/>
    <s v="OPERADO"/>
    <s v="PARANÁ"/>
    <x v="1"/>
    <m/>
  </r>
  <r>
    <x v="12"/>
    <s v="FIORE MERCEDES "/>
    <n v="76"/>
    <n v="5337369"/>
    <s v="STOPELLO"/>
    <s v="ARTR ROD DER"/>
    <s v="PTR ANATOMICA "/>
    <s v="VILLALBA"/>
    <s v="ACEPTADO"/>
    <s v="PARANÁ"/>
    <x v="1"/>
    <m/>
  </r>
  <r>
    <x v="12"/>
    <s v="NUÑEZ OSCAR"/>
    <n v="45"/>
    <n v="26048280"/>
    <s v="GARCIA VITOR"/>
    <s v="OSTEOARTRITIS "/>
    <s v="PTC NO CEMENT"/>
    <m/>
    <s v="INICIADO"/>
    <s v="PARANÁ"/>
    <x v="0"/>
    <m/>
  </r>
  <r>
    <x v="13"/>
    <s v="SUAREZ M. ELENA"/>
    <n v="59"/>
    <n v="16435194"/>
    <s v="STOPELLO"/>
    <s v="ARTR ROD DER"/>
    <s v="PTR PRIMARIA "/>
    <s v="IP MAGNA "/>
    <s v="ACEPTADO"/>
    <s v="PARANÁ"/>
    <x v="0"/>
    <m/>
  </r>
  <r>
    <x v="13"/>
    <s v="MERCADO LUISA ESTER "/>
    <n v="59"/>
    <n v="16435194"/>
    <s v="STOPELLO"/>
    <s v="ARTR ROD DER"/>
    <s v="PTR PRIMARIA "/>
    <s v="IP MAGNA "/>
    <s v="ACEPTADO"/>
    <s v="PARANÁ"/>
    <x v="1"/>
    <m/>
  </r>
  <r>
    <x v="13"/>
    <s v="ABASTO GRACIELA "/>
    <n v="69"/>
    <n v="10744491"/>
    <s v="GARCIA VITOR"/>
    <s v="ARTR ROD IZQ"/>
    <s v="PTR ANATOMICA "/>
    <s v="IP MAGNA "/>
    <s v="ACEPTADO"/>
    <s v="PARANÁ"/>
    <x v="1"/>
    <m/>
  </r>
  <r>
    <x v="13"/>
    <s v="CARDOSO NILDA"/>
    <n v="75"/>
    <n v="5693451"/>
    <s v="MERLINI"/>
    <s v="FX CADERA DER"/>
    <s v="CLAVO DHS"/>
    <s v="VILLALBA"/>
    <s v="ACEPTADO"/>
    <s v="PARANÁ"/>
    <x v="1"/>
    <m/>
  </r>
  <r>
    <x v="13"/>
    <s v="ROMERO JUANA "/>
    <n v="68"/>
    <n v="11379917"/>
    <s v="STOPELLO"/>
    <s v="ARTR ROD DER"/>
    <s v="PTR ANATOMICA "/>
    <s v="IP MAGNA "/>
    <s v="ACEPTADO"/>
    <s v="PARANÁ"/>
    <x v="1"/>
    <m/>
  </r>
  <r>
    <x v="13"/>
    <s v="CACERES MABEL "/>
    <n v="73"/>
    <n v="5736157"/>
    <s v="STOPELLO"/>
    <s v="GENU VARO"/>
    <s v="PTR  DE REVISION   DER "/>
    <s v="VILLALBA"/>
    <s v="ACEPTADO"/>
    <s v="PARANÁ"/>
    <x v="1"/>
    <m/>
  </r>
  <r>
    <x v="14"/>
    <s v="PELLEGRINI DOMINGA "/>
    <n v="73"/>
    <n v="6225442"/>
    <s v="MERLINI"/>
    <s v="FX TIBIA Y PERONE "/>
    <s v="PLACA TERCI TUBO"/>
    <s v="VILLALBA"/>
    <s v="ACEPTADO"/>
    <s v="PARANÁ"/>
    <x v="1"/>
    <s v="THOMPSOM"/>
  </r>
  <r>
    <x v="15"/>
    <s v="YACUMINI JORGE "/>
    <n v="42"/>
    <n v="28360530"/>
    <s v="MERLINI"/>
    <s v="FX ANTE BRAZO"/>
    <s v="PLACA DCP BLOQ."/>
    <m/>
    <s v="INICIADO"/>
    <s v="PARANÁ"/>
    <x v="0"/>
    <m/>
  </r>
  <r>
    <x v="15"/>
    <s v="TREPPAN RENZO"/>
    <n v="19"/>
    <n v="44819950"/>
    <s v="MERLINI"/>
    <s v="FX CLAVICULA"/>
    <s v="PLACA ANT. BLOQ."/>
    <m/>
    <s v="ACEPTADO"/>
    <s v="PARANÁ"/>
    <x v="0"/>
    <m/>
  </r>
  <r>
    <x v="16"/>
    <s v="ALMADA  MARIA"/>
    <n v="54"/>
    <n v="20950584"/>
    <s v="MERLINI"/>
    <s v="FX CADERA "/>
    <s v="CLAVO GAMMA"/>
    <m/>
    <s v="INICIADO"/>
    <s v="PARANÁ"/>
    <x v="0"/>
    <m/>
  </r>
  <r>
    <x v="17"/>
    <s v="GORO MARIA "/>
    <n v="78"/>
    <n v="4924052"/>
    <s v="MERLINI"/>
    <s v="FX HUMERO"/>
    <s v="CLAVO ENDOM "/>
    <s v="VILLALBA"/>
    <s v="ACEPTADO"/>
    <s v="PARANÁ"/>
    <x v="1"/>
    <m/>
  </r>
  <r>
    <x v="17"/>
    <s v="RAU  JOAQUIN "/>
    <n v="19"/>
    <n v="45337036"/>
    <s v="THOMPSOM"/>
    <s v="FX MUÑECA"/>
    <s v="PLACA VOLAR"/>
    <m/>
    <s v="ACEPTADO"/>
    <s v="PARANÁ"/>
    <x v="0"/>
    <m/>
  </r>
  <r>
    <x v="18"/>
    <s v="VALTER LEONOR "/>
    <n v="76"/>
    <n v="5699900"/>
    <s v="MERLINI"/>
    <s v="FX HUMERO"/>
    <s v="PLACAS RECONTRUCCION "/>
    <s v="VILLALBA"/>
    <s v="ACEPTADO"/>
    <s v="PARANÁ"/>
    <x v="1"/>
    <m/>
  </r>
  <r>
    <x v="19"/>
    <s v="MOLINA HECTOR "/>
    <n v="49"/>
    <n v="23279907"/>
    <s v="CATRIEL GODOY"/>
    <s v="FX RODILLA"/>
    <s v="PTR ANATOMICA "/>
    <m/>
    <s v="INICIADO"/>
    <s v="PARANÁ"/>
    <x v="0"/>
    <n v="3435316130"/>
  </r>
  <r>
    <x v="19"/>
    <s v="RAMIREZ RAMON "/>
    <n v="55"/>
    <n v="17850155"/>
    <s v="CATRIEL GODOY"/>
    <s v="GONARTROSIS"/>
    <s v="PTR ANATOMICA "/>
    <m/>
    <s v="INICIADO"/>
    <s v="PARANÁ"/>
    <x v="0"/>
    <n v="155005349"/>
  </r>
  <r>
    <x v="19"/>
    <s v="WEINER M. JOSEFA "/>
    <n v="61"/>
    <n v="14294642"/>
    <s v="MERLINI"/>
    <s v="FX MUÑECA"/>
    <s v="PLACA VOLAR"/>
    <s v="VILLALBA"/>
    <s v="ACEPTADO"/>
    <s v="PARANÁ"/>
    <x v="1"/>
    <m/>
  </r>
  <r>
    <x v="19"/>
    <s v="VENTOSINOS RODOLFO "/>
    <n v="76"/>
    <n v="5955360"/>
    <s v="GARCIA VITOR"/>
    <s v="COXARTROSIS"/>
    <s v="PTC CEMENTADA / COTILO"/>
    <s v="VILLALBA"/>
    <s v="ACEPTADO"/>
    <s v="PARANÁ"/>
    <x v="1"/>
    <m/>
  </r>
  <r>
    <x v="20"/>
    <s v="ROSELLO PATRICIA "/>
    <n v="58"/>
    <n v="17222561"/>
    <s v="MERLINI"/>
    <s v="FX MUÑECA"/>
    <s v="PLACA DOBLE "/>
    <m/>
    <s v="INICIADO"/>
    <s v="PARANÁ"/>
    <x v="0"/>
    <n v="3425296802"/>
  </r>
  <r>
    <x v="20"/>
    <s v="ACOSTA SALMA DYLAN "/>
    <n v="15"/>
    <n v="48476474"/>
    <s v="MERLINI"/>
    <s v="FX TOBILLO IZQ"/>
    <s v="PLACA TERCI TUBO"/>
    <m/>
    <s v="ACEPTADO"/>
    <s v="PARANÁ"/>
    <x v="0"/>
    <m/>
  </r>
  <r>
    <x v="20"/>
    <s v="LARROSA DANIEL "/>
    <n v="38"/>
    <n v="30322184"/>
    <s v="MERLINI"/>
    <s v="FX ANTE BRAZO"/>
    <s v="PLACA DOBLE "/>
    <m/>
    <s v="OPERADO"/>
    <s v="PARANÁ"/>
    <x v="0"/>
    <m/>
  </r>
  <r>
    <x v="20"/>
    <s v="SANCHEZ DIEGO"/>
    <n v="22"/>
    <n v="42732369"/>
    <s v="VENTURI"/>
    <s v="LCA"/>
    <s v="BOTON/TORNILLOS "/>
    <m/>
    <s v="ACEPTADO"/>
    <s v="PARANÁ"/>
    <x v="0"/>
    <n v="3435368043"/>
  </r>
  <r>
    <x v="21"/>
    <s v="GONZALEZ J. DANIEL "/>
    <n v="67"/>
    <n v="11584653"/>
    <s v="GARCIA VITOR"/>
    <s v="AFLOJ. PROTESICO"/>
    <s v="RTR DE REVISION "/>
    <s v="IP MAGNA "/>
    <s v="ACEPTADO"/>
    <s v="PARANÁ"/>
    <x v="1"/>
    <m/>
  </r>
  <r>
    <x v="21"/>
    <s v="COMAR CLARA"/>
    <n v="75"/>
    <n v="5579154"/>
    <s v="YACOMO"/>
    <s v="GONARTROSIS"/>
    <s v="PTR ANATOMICA "/>
    <s v="VILLALBA"/>
    <s v="ACEPTADO"/>
    <s v="PARANÁ"/>
    <x v="1"/>
    <n v="5289542"/>
  </r>
  <r>
    <x v="21"/>
    <s v="CENTURION LUIS "/>
    <n v="51"/>
    <n v="25236790"/>
    <s v="YACOMO"/>
    <s v="GENU VARO"/>
    <s v="BOTON/TORNILLOS "/>
    <m/>
    <s v="ACEPTADO"/>
    <s v="PARANÁ"/>
    <x v="0"/>
    <n v="3434624471"/>
  </r>
  <r>
    <x v="21"/>
    <s v="HOLLMAN  HILARIO "/>
    <n v="71"/>
    <n v="8580811"/>
    <s v="STOPELLO"/>
    <s v="COXARTROSIS"/>
    <s v="RTC CEMENTADA "/>
    <s v="VILLALBA"/>
    <s v="ACEPTADO"/>
    <s v="PARANÁ"/>
    <x v="1"/>
    <m/>
  </r>
  <r>
    <x v="22"/>
    <s v="CASCO  RAMONA "/>
    <n v="66"/>
    <n v="12313845"/>
    <s v="MERLINI"/>
    <s v="FX CADERA"/>
    <s v="CLACO GAMMA "/>
    <s v="VILLALBA"/>
    <s v="ACEPTADO"/>
    <s v="PARANÁ"/>
    <x v="1"/>
    <m/>
  </r>
  <r>
    <x v="23"/>
    <s v="GOMEZ  ELODIA "/>
    <n v="66"/>
    <n v="12453200"/>
    <s v="GARCIA VITOR"/>
    <s v="GONARTROSIS"/>
    <s v="RTR ANATOMICA "/>
    <s v="IP MAGNA "/>
    <s v="ACEPTADO"/>
    <s v="PARANÁ"/>
    <x v="1"/>
    <n v="3435038414"/>
  </r>
  <r>
    <x v="24"/>
    <s v="CASTILLO MARGAITA "/>
    <n v="72"/>
    <n v="5911916"/>
    <s v="MERLINI"/>
    <s v="FX HUMERO"/>
    <s v="PLACA PHILOS"/>
    <s v="VILLALBA"/>
    <s v="ACEPTADO"/>
    <s v="PARANÁ"/>
    <x v="1"/>
    <m/>
  </r>
  <r>
    <x v="24"/>
    <s v="BECCHIO ELSA "/>
    <n v="82"/>
    <n v="2732059"/>
    <s v="MERLINI"/>
    <s v="FX CADERA"/>
    <s v="CLAVO GAMMA"/>
    <s v="VILLALBA"/>
    <s v="ACEPTADO"/>
    <s v="PARANÁ"/>
    <x v="1"/>
    <m/>
  </r>
  <r>
    <x v="24"/>
    <s v="DEGREGORIO STEFANO "/>
    <n v="33"/>
    <n v="34495991"/>
    <s v="MERLINI"/>
    <s v="FX CLAVICULA"/>
    <s v="PLACA ANAT"/>
    <m/>
    <s v="INICIADO"/>
    <s v="PARANÁ"/>
    <x v="0"/>
    <n v="3435164853"/>
  </r>
  <r>
    <x v="25"/>
    <s v="AGUIRRES JOAQUIN"/>
    <n v="23"/>
    <n v="43292765"/>
    <m/>
    <s v="FX FEMUR"/>
    <s v="CLAVO RETROGRADO"/>
    <m/>
    <s v="ACEPTADO"/>
    <m/>
    <x v="0"/>
    <m/>
  </r>
  <r>
    <x v="26"/>
    <s v="LAIMER ZELAYA GROVER "/>
    <n v="30"/>
    <n v="96063853"/>
    <s v="MERLINI"/>
    <s v="FX MUÑECA"/>
    <s v="PLACA DOBLE H. DISTAL "/>
    <m/>
    <s v="ACEPTADO"/>
    <s v="PARANÁ"/>
    <x v="1"/>
    <m/>
  </r>
  <r>
    <x v="26"/>
    <s v="RODRIGUEZ LEONARDO"/>
    <n v="29"/>
    <n v="37212467"/>
    <s v="MERLINI"/>
    <s v="FX ESCAFOEDES"/>
    <s v="TORN. HERBERT"/>
    <m/>
    <s v="INICIADO "/>
    <s v="PARANÁ"/>
    <x v="0"/>
    <n v="155196398"/>
  </r>
  <r>
    <x v="26"/>
    <s v="DA SILVA MUIRIAM "/>
    <n v="38"/>
    <n v="31122814"/>
    <s v="MERLINI"/>
    <s v="FX CODO DER"/>
    <s v="PLACA LCP"/>
    <m/>
    <s v="INICIADO"/>
    <s v="PARANÁ"/>
    <x v="0"/>
    <m/>
  </r>
  <r>
    <x v="26"/>
    <s v="RIPARI SANDRA "/>
    <n v="53"/>
    <n v="20894973"/>
    <s v="MERLINI"/>
    <s v="FX MUÑECA"/>
    <s v="PLACA DOBLE H. DISTAL "/>
    <m/>
    <s v="INICIADO"/>
    <s v="PARANÁ"/>
    <x v="0"/>
    <m/>
  </r>
  <r>
    <x v="26"/>
    <s v="NARDUZZI SEBASIAN "/>
    <n v="34"/>
    <n v="33624698"/>
    <s v="MERLINI"/>
    <s v="FX F1 MANO IZQ "/>
    <s v="TOR- PARA FALANGES "/>
    <m/>
    <s v="ACEPTADO"/>
    <s v="PARANÁ"/>
    <x v="0"/>
    <m/>
  </r>
  <r>
    <x v="26"/>
    <s v="WEIS MARIA ESTER "/>
    <n v="76"/>
    <n v="11581182"/>
    <s v="CATRIEL GODOY"/>
    <s v="HALLUX VALGO"/>
    <s v="PLACAS/TORNI"/>
    <s v="VILLALBA"/>
    <s v="ACEPTADO"/>
    <s v="CERRITO "/>
    <x v="1"/>
    <m/>
  </r>
  <r>
    <x v="26"/>
    <s v="ORTIZ ALICIA "/>
    <n v="70"/>
    <n v="10744114"/>
    <s v="MERLINI"/>
    <s v="FX MUÑECA"/>
    <s v="PLACA DOBLE H. DISTAL "/>
    <s v="VILLALBA"/>
    <s v="ACEPTADO"/>
    <s v="PARANÁ"/>
    <x v="1"/>
    <m/>
  </r>
  <r>
    <x v="26"/>
    <s v="GILES LUISA "/>
    <n v="74"/>
    <n v="6211475"/>
    <s v="MERLINI"/>
    <s v="FX HUMERO"/>
    <s v="PLACA PHILOS"/>
    <s v="VILLALBA"/>
    <s v="ACEPTADO"/>
    <s v="PARANÁ"/>
    <x v="1"/>
    <m/>
  </r>
  <r>
    <x v="27"/>
    <s v="SCHWAB  ELLY"/>
    <n v="82"/>
    <n v="9980388"/>
    <s v="STOPELLO"/>
    <s v="FX HUMERO"/>
    <s v="PLACA PHILOS"/>
    <s v="VILLALB A"/>
    <s v="ACEPTADO"/>
    <s v="PARANÁ"/>
    <x v="1"/>
    <m/>
  </r>
  <r>
    <x v="27"/>
    <s v="CAFFARENA ZUNILDA "/>
    <n v="27"/>
    <n v="39262764"/>
    <s v="SUKSDORF"/>
    <s v="LCA "/>
    <s v="TORN INTRF/BOTON "/>
    <m/>
    <s v="ACEPTADO"/>
    <s v="TABOSSI"/>
    <x v="0"/>
    <m/>
  </r>
  <r>
    <x v="28"/>
    <s v="FIORI MERCEDES "/>
    <n v="76"/>
    <n v="5337369"/>
    <s v="STOPELLO"/>
    <s v="GONARTROSIS"/>
    <s v="RTR ANATOMICA "/>
    <s v="VILLALVA"/>
    <s v="ACEPTADO"/>
    <s v="PARANÁ"/>
    <x v="1"/>
    <m/>
  </r>
  <r>
    <x v="29"/>
    <s v="FISCHER  ANGELICA "/>
    <n v="75"/>
    <n v="5599658"/>
    <s v="CESAR MEYNET"/>
    <s v="GENUVARO"/>
    <s v="PTR PRIMARIA "/>
    <s v="VILLALBA "/>
    <s v="ACEPTADO"/>
    <s v="PARANÁ"/>
    <x v="1"/>
    <m/>
  </r>
  <r>
    <x v="30"/>
    <s v="YZURIETA  ADRIAN "/>
    <n v="23"/>
    <n v="42576540"/>
    <s v="MERLINI"/>
    <s v="FX CLAVICULA"/>
    <s v="PLACA ANAT"/>
    <m/>
    <s v="INICIADO "/>
    <s v="PARANÁ"/>
    <x v="0"/>
    <n v="3435336066"/>
  </r>
  <r>
    <x v="30"/>
    <s v="GIRARD ANIBAL "/>
    <n v="81"/>
    <n v="5935500"/>
    <s v="MERLINI"/>
    <s v="FX CADERA"/>
    <s v="CLAVO GAMMA"/>
    <s v="VILLALBA "/>
    <s v="ACEPTADO"/>
    <s v="PARANÁ"/>
    <x v="1"/>
    <m/>
  </r>
  <r>
    <x v="30"/>
    <s v="HEFFELE MIRTA   "/>
    <n v="72"/>
    <n v="6715165"/>
    <s v="UCEDO"/>
    <s v="FX  DE MUÑECA "/>
    <s v="PLACA VOLAR "/>
    <s v="VILLALBA "/>
    <s v="ACEPTADO"/>
    <s v="PARANÁ"/>
    <x v="1"/>
    <m/>
  </r>
  <r>
    <x v="30"/>
    <s v="BONSI MARIA "/>
    <n v="77"/>
    <n v="4988866"/>
    <s v="MERLINI"/>
    <s v="FX CADERA"/>
    <s v="CLACO DHS "/>
    <s v="VILLALBA"/>
    <s v="ACEPTADO"/>
    <s v="PARANÁ"/>
    <x v="1"/>
    <m/>
  </r>
  <r>
    <x v="30"/>
    <s v="MORATO JONATHAN "/>
    <n v="38"/>
    <n v="31439580"/>
    <s v="MERLINI"/>
    <s v="FX CODO"/>
    <s v="PLACA ANATOMICA "/>
    <m/>
    <s v="ACEPTADO"/>
    <s v="PARANÁ"/>
    <x v="0"/>
    <m/>
  </r>
  <r>
    <x v="31"/>
    <s v="NUÑEZ OSCAR "/>
    <m/>
    <m/>
    <s v="GARCIA VITOR"/>
    <m/>
    <s v="PTC CEMENTADA / COTILO"/>
    <m/>
    <s v="INICIADO "/>
    <s v="PARANÁ"/>
    <x v="0"/>
    <m/>
  </r>
  <r>
    <x v="31"/>
    <s v="CASTILLO MARGARITA "/>
    <n v="72"/>
    <n v="5911916"/>
    <s v="MERLINI"/>
    <s v="FX HUMERO"/>
    <s v="CLAVO ENDOM  HUMERO "/>
    <s v="VILLALBA"/>
    <s v="ACEPTADO"/>
    <s v="PARANÁ"/>
    <x v="1"/>
    <m/>
  </r>
  <r>
    <x v="32"/>
    <s v="RODRIGUEZ J. CARLOS "/>
    <n v="57"/>
    <n v="16958066"/>
    <s v="VENTURI"/>
    <s v="RUPT MANG ROT "/>
    <s v="ARPONES "/>
    <m/>
    <s v="INICIADO "/>
    <s v="LA PAZ "/>
    <x v="2"/>
    <m/>
  </r>
  <r>
    <x v="32"/>
    <s v="DUARTE RAMONA "/>
    <n v="54"/>
    <n v="20553521"/>
    <s v="VENTURI"/>
    <s v="RUPT MANG ROT 2 ARPONES "/>
    <s v="ARPONES"/>
    <m/>
    <s v="ACEPTADO"/>
    <s v="PARANÁ"/>
    <x v="2"/>
    <m/>
  </r>
  <r>
    <x v="32"/>
    <s v="MENDOZA JOSE "/>
    <n v="51"/>
    <n v="96150149"/>
    <s v="JACOB "/>
    <s v="ESPNDIOLITESIS "/>
    <s v="BARRA/PLIF/DRILL/TORN "/>
    <m/>
    <s v="INICIADO"/>
    <s v="DIAMANTE "/>
    <x v="0"/>
    <m/>
  </r>
  <r>
    <x v="32"/>
    <s v="CUELLO ALEXANDER "/>
    <m/>
    <n v="39027461"/>
    <s v="JACOB "/>
    <s v="ESPNDIOLITESIS "/>
    <s v="BARRA/PLIF/DRILL/TORN "/>
    <m/>
    <s v="INICIADO"/>
    <s v="PARANÁ"/>
    <x v="0"/>
    <m/>
  </r>
  <r>
    <x v="33"/>
    <s v="FERREYRA RODRIGO "/>
    <n v="22"/>
    <n v="43292307"/>
    <s v="YACOMO"/>
    <s v="LCA "/>
    <s v="TORN/BOTON "/>
    <m/>
    <s v="INICIADO"/>
    <s v="PARANÁ"/>
    <x v="0"/>
    <m/>
  </r>
  <r>
    <x v="33"/>
    <s v="PORTORREAL ROSA "/>
    <n v="85"/>
    <n v="3548213"/>
    <s v="UCEDO"/>
    <s v="GENU VARO"/>
    <s v="TOR. HERBERT "/>
    <s v="VILLALBA "/>
    <s v="ACEPTADO"/>
    <s v="PARANÁ"/>
    <x v="1"/>
    <m/>
  </r>
  <r>
    <x v="33"/>
    <s v="PEREZ ELBA "/>
    <n v="69"/>
    <n v="10793814"/>
    <s v="MERLINI"/>
    <s v="FX HUMERO"/>
    <s v="PLACA PHILOS"/>
    <s v="VILLALBA"/>
    <s v="ACEPTADO"/>
    <s v="PARANÁ"/>
    <x v="1"/>
    <m/>
  </r>
  <r>
    <x v="34"/>
    <s v="COTDOBA DORA "/>
    <n v="73"/>
    <n v="6147468"/>
    <s v="MERLINI"/>
    <s v="EXTR PROTESIS "/>
    <s v="TUTOR EXTERNO"/>
    <s v="VILLALBA"/>
    <s v="ACEPTADO"/>
    <s v="PARANÁ"/>
    <x v="1"/>
    <m/>
  </r>
  <r>
    <x v="34"/>
    <s v="URQUIZA MARIA "/>
    <n v="73"/>
    <n v="6361754"/>
    <s v="MERLINI"/>
    <s v="RUP MANG ROTA"/>
    <s v="PROT HOMB. ARPONES "/>
    <s v="VILLALBA"/>
    <s v="ACEPTADO"/>
    <s v="PARANÁ"/>
    <x v="1"/>
    <m/>
  </r>
  <r>
    <x v="34"/>
    <s v="MICHELOUD AILIN "/>
    <n v="23"/>
    <n v="41796929"/>
    <s v="MERLINI"/>
    <s v="FX HUMERO"/>
    <s v="PLACA PHILOS"/>
    <m/>
    <s v="INICIADO"/>
    <s v="PARANÁ"/>
    <x v="0"/>
    <m/>
  </r>
  <r>
    <x v="35"/>
    <s v="CARDOSO ANIBAL"/>
    <m/>
    <m/>
    <s v="GARCIA VITOR"/>
    <s v="COXARTROSIS"/>
    <s v="PTC CEMENTADA / COTILO"/>
    <s v="IP MAGNA "/>
    <s v="ACEPTADO"/>
    <s v="PARANÁ"/>
    <x v="1"/>
    <m/>
  </r>
  <r>
    <x v="35"/>
    <s v="VALDEZ  ANIBAL"/>
    <m/>
    <m/>
    <s v="GARCIA VITOR"/>
    <s v="COXARTROSIS"/>
    <s v="PTC CEMENTADA / COTILO"/>
    <s v="IP MAGNA "/>
    <s v="ACEPTADO"/>
    <s v="PARANÁ"/>
    <x v="1"/>
    <m/>
  </r>
  <r>
    <x v="36"/>
    <s v="RICKERT MERCEDES "/>
    <n v="81"/>
    <n v="3938353"/>
    <s v="MERLINI"/>
    <s v="FX CADERA"/>
    <s v="CLAVO GAMMA"/>
    <s v="VILLALBA "/>
    <s v="ACEPTADO"/>
    <s v="PARANÁ"/>
    <x v="1"/>
    <m/>
  </r>
  <r>
    <x v="36"/>
    <s v="FAIN MARIA "/>
    <n v="63"/>
    <n v="13631416"/>
    <s v="SUKSDORF"/>
    <s v="GONARTROSIS"/>
    <s v="PTR ANATOMICA "/>
    <s v="IP MAGNA "/>
    <s v="ACEPTADO"/>
    <s v="PARANÁ"/>
    <x v="1"/>
    <m/>
  </r>
  <r>
    <x v="37"/>
    <s v="AVILA EXEQUIEL"/>
    <n v="16"/>
    <n v="4778328"/>
    <s v="MERLINI"/>
    <s v="FX ANTE BRAZO"/>
    <s v="PLACA DCP/PLACA T.TUBO"/>
    <m/>
    <s v="INICIADO"/>
    <s v="PARANÁ"/>
    <x v="0"/>
    <m/>
  </r>
  <r>
    <x v="37"/>
    <s v="ESPINDOLA LEONARDO"/>
    <m/>
    <n v="25684526"/>
    <s v="MERLINI"/>
    <m/>
    <m/>
    <m/>
    <s v="INICIADO"/>
    <s v="PARANÁ"/>
    <x v="0"/>
    <m/>
  </r>
  <r>
    <x v="37"/>
    <s v="SANTILLAN ALFREDO"/>
    <m/>
    <n v="14545653"/>
    <s v="JACOB "/>
    <s v="HERNIA DE DISCO"/>
    <s v="CAGE/DRILL/SUST OSEO"/>
    <m/>
    <s v="INICIADO"/>
    <s v="PARANÁ"/>
    <x v="0"/>
    <m/>
  </r>
  <r>
    <x v="37"/>
    <s v="MARDON ALVARO"/>
    <n v="47"/>
    <n v="24479715"/>
    <s v="STOPELLO"/>
    <s v="GENU VARO"/>
    <s v="PLACA PUDDU"/>
    <m/>
    <s v="INICIADO"/>
    <s v="PARANÁ"/>
    <x v="0"/>
    <m/>
  </r>
  <r>
    <x v="37"/>
    <s v="RODRIGUEZ NORMA "/>
    <n v="70"/>
    <n v="10499983"/>
    <s v="MERLINI"/>
    <s v="FX MUÑECA"/>
    <s v="PLCA DOBLE/TERCIO TUBO"/>
    <s v="VILLALBA"/>
    <s v="ACEPTADO"/>
    <s v="PARANÁ"/>
    <x v="1"/>
    <m/>
  </r>
  <r>
    <x v="38"/>
    <s v="RLODRIGUEZ SANTIAGO"/>
    <n v="16"/>
    <n v="46974404"/>
    <s v="URANGA "/>
    <s v="ESCOLIOSIS "/>
    <s v="BARRA/PLIF/DRILL/TORN "/>
    <m/>
    <s v="INICIADO "/>
    <s v="VILLAGUAY"/>
    <x v="0"/>
    <m/>
  </r>
  <r>
    <x v="38"/>
    <s v="RODRIGUEZ SANTIAGO"/>
    <n v="16"/>
    <n v="46974404"/>
    <s v="URANGA "/>
    <s v="ESCOLIOSIS "/>
    <s v="POT EVOC. MOTORES "/>
    <m/>
    <s v="INICIADO "/>
    <s v="VILLAGUAY"/>
    <x v="0"/>
    <m/>
  </r>
  <r>
    <x v="39"/>
    <s v="SEGOVIA MARIA "/>
    <n v="26"/>
    <n v="40160396"/>
    <s v="CATRIEL GODOY"/>
    <s v="RUP LCA "/>
    <s v="TORN.INTERF./BOTON"/>
    <m/>
    <s v="ACEPTADO"/>
    <s v="PARANÁ"/>
    <x v="0"/>
    <m/>
  </r>
  <r>
    <x v="40"/>
    <s v="MARTINEZ STELLA "/>
    <n v="70"/>
    <n v="10499881"/>
    <s v="MERLINI"/>
    <s v="FX MUÑECA "/>
    <s v="PLACA DOBLE H. DISTAL "/>
    <s v="VILLALBA "/>
    <s v="ACEPTADO"/>
    <s v="PARANÁ"/>
    <x v="1"/>
    <m/>
  </r>
  <r>
    <x v="40"/>
    <s v="KUNZI L SEBASTIAN "/>
    <n v="73"/>
    <n v="8399044"/>
    <s v="GARCIA VITOR"/>
    <s v="COXARTROSIS"/>
    <s v="PTC CEMENTADA / COTILO"/>
    <s v="VILLALBA"/>
    <s v="ACEPTADO"/>
    <s v="PARANÁ"/>
    <x v="1"/>
    <m/>
  </r>
  <r>
    <x v="40"/>
    <s v="DE ANGELI ANGEL LUIS "/>
    <n v="76"/>
    <n v="8451035"/>
    <s v="GARCIA VITOR"/>
    <s v="FX CADERA "/>
    <s v="CLAVO GAMMA "/>
    <s v="VILLALBA "/>
    <s v="ACEPTADO"/>
    <s v="VIALE "/>
    <x v="1"/>
    <m/>
  </r>
  <r>
    <x v="40"/>
    <s v="BUSULARI RAFAEL "/>
    <n v="54"/>
    <n v="20255431"/>
    <s v="HERMIDA "/>
    <s v="COXARTROSIS"/>
    <s v="PTC NO CEMENT"/>
    <m/>
    <s v="INICIADO"/>
    <s v="HASENKAMP"/>
    <x v="0"/>
    <m/>
  </r>
  <r>
    <x v="40"/>
    <s v="BENITEZ NANCY"/>
    <n v="52"/>
    <n v="22067637"/>
    <s v="SUKSDORF"/>
    <s v="LCA "/>
    <s v="TORNILLOS /BOTON "/>
    <m/>
    <s v="ACEPTADO"/>
    <s v="GUALEGUAY"/>
    <x v="0"/>
    <m/>
  </r>
  <r>
    <x v="40"/>
    <s v="SALUZZIO ANGELA M. CRISTINA "/>
    <n v="74"/>
    <n v="5927108"/>
    <s v="COLLOMB"/>
    <m/>
    <s v="PTC CEMENTADA / COTILO"/>
    <s v="VILLALBA"/>
    <s v="ACEPTADO"/>
    <s v="PARANÁ"/>
    <x v="1"/>
    <n v="4"/>
  </r>
  <r>
    <x v="41"/>
    <s v="MAYDANA LUIS "/>
    <n v="67"/>
    <n v="12313631"/>
    <s v="CESAR MEYNET"/>
    <s v="COXARTROSIS"/>
    <s v="PTC CEMENTADA / COTILO"/>
    <m/>
    <s v="ACEPTADO"/>
    <s v="PARANÁ"/>
    <x v="0"/>
    <m/>
  </r>
  <r>
    <x v="42"/>
    <s v="MOREYRA GUSTAVO"/>
    <n v="33"/>
    <n v="34038717"/>
    <s v="GARCIA VITOR"/>
    <s v="SEUA.INFEC"/>
    <s v="CLAVO CEMENTADO"/>
    <m/>
    <s v="ACEPTADO"/>
    <s v="PARANÁ"/>
    <x v="0"/>
    <m/>
  </r>
  <r>
    <x v="42"/>
    <s v="DE LOS SANTOS M DEL CARMEN "/>
    <n v="68"/>
    <n v="11259970"/>
    <s v="GARCIA VITOR"/>
    <s v="GONARTROSIS"/>
    <s v="RTR ANATOMICA "/>
    <s v="IP MAGNA "/>
    <s v="ACEPTADO"/>
    <s v="GRAL RAMIREZ"/>
    <x v="1"/>
    <m/>
  </r>
  <r>
    <x v="42"/>
    <s v="JUNCOS HECTOR "/>
    <n v="70"/>
    <n v="10521536"/>
    <s v="GARCIA VITOR"/>
    <s v="GENU VARO IZQ"/>
    <s v="PRP CON VASTY CUÑAS "/>
    <s v="IP MAGNA "/>
    <s v="ACEPTADO"/>
    <s v="PARANÁ"/>
    <x v="1"/>
    <m/>
  </r>
  <r>
    <x v="42"/>
    <s v="JUNCOS HECTOR "/>
    <n v="70"/>
    <n v="10521536"/>
    <s v="GARCIA VITOR"/>
    <s v="GENU VARO DER"/>
    <s v="PRP CON VASTY CUÑAS "/>
    <s v="IP MAGNA "/>
    <s v="ACEPTADO"/>
    <s v="PARANÁ"/>
    <x v="1"/>
    <m/>
  </r>
  <r>
    <x v="42"/>
    <s v="FONTANA HUMBERTO"/>
    <n v="66"/>
    <n v="13008727"/>
    <s v="COLLOMB"/>
    <s v="FX TOBILLO IZQ"/>
    <s v="PLACA TERCI TUBO"/>
    <s v="VILLALBA "/>
    <s v="ACEPTADO"/>
    <s v="PARANÁ"/>
    <x v="1"/>
    <m/>
  </r>
  <r>
    <x v="43"/>
    <s v="PENAU ROSA ESTER "/>
    <n v="64"/>
    <n v="11740044"/>
    <s v="UCEDO"/>
    <s v="FX CADERA"/>
    <s v="CLAVO GAMMA"/>
    <s v="VILLALBA"/>
    <s v="ACEPTADO"/>
    <s v="PARANÁ"/>
    <x v="1"/>
    <m/>
  </r>
  <r>
    <x v="43"/>
    <s v="BARBOZA ABRIL"/>
    <n v="17"/>
    <n v="47176223"/>
    <s v="UCEDO"/>
    <s v="FX CALCANEO"/>
    <s v="PLACA LAMBDA "/>
    <m/>
    <s v="INICIADO"/>
    <s v="PARANÁ"/>
    <x v="0"/>
    <m/>
  </r>
  <r>
    <x v="43"/>
    <s v="MANZANO EDUARDO"/>
    <n v="67"/>
    <n v="117702061"/>
    <s v="UCEDO"/>
    <s v="FX TIBIA Y PERONE "/>
    <s v="PLACA TERCI TUBO/CLAVO"/>
    <s v="VILLALBA "/>
    <s v="ACEPTADO"/>
    <s v="MARIA GRANDE "/>
    <x v="1"/>
    <m/>
  </r>
  <r>
    <x v="43"/>
    <s v="GAITAN SEBASTIAN "/>
    <n v="43"/>
    <n v="27467962"/>
    <s v="CATRIEL GODOY"/>
    <s v="RUP. LCA"/>
    <s v="TORN/BOTON "/>
    <m/>
    <s v="ACEPTADO"/>
    <s v="LUCAS GONZALEZ"/>
    <x v="0"/>
    <m/>
  </r>
  <r>
    <x v="44"/>
    <s v="ORCELLET MARTA IRMA "/>
    <n v="80"/>
    <n v="4212089"/>
    <s v="MERLINI"/>
    <s v="FC HOMBRO"/>
    <s v="P.PHILOS/P.HOMBRO"/>
    <s v="VILLALBA"/>
    <s v="ACEPTADO"/>
    <s v="PARANÁ"/>
    <x v="1"/>
    <m/>
  </r>
  <r>
    <x v="44"/>
    <s v="MONTENEGRO TERESA "/>
    <n v="73"/>
    <n v="5690669"/>
    <s v="VENTURI"/>
    <s v="GONARTROSIS"/>
    <s v="RTR ANATOMICA "/>
    <s v="VILLALBA"/>
    <s v="ACEPTADO"/>
    <s v="PARANÁ"/>
    <x v="1"/>
    <m/>
  </r>
  <r>
    <x v="44"/>
    <s v="VILLAVERDE ALICIA "/>
    <n v="68"/>
    <n v="11263062"/>
    <s v="UCEDO"/>
    <s v="HALLUX VALGUS "/>
    <s v="TORN  HERBERT"/>
    <s v="VILLALBA "/>
    <s v="ACEPTADO"/>
    <s v="PARANÁ"/>
    <x v="1"/>
    <m/>
  </r>
  <r>
    <x v="44"/>
    <s v="ACOSTA VICTORIA "/>
    <n v="72"/>
    <n v="6293255"/>
    <s v="MERLINI"/>
    <s v="FX CODO"/>
    <s v="P. CUP. RADIAL "/>
    <s v="VILLALBA "/>
    <s v="ACEPTADO"/>
    <s v="PARANÁ"/>
    <x v="1"/>
    <m/>
  </r>
  <r>
    <x v="44"/>
    <s v="PEREZ STELLA "/>
    <n v="40"/>
    <n v="30360908"/>
    <s v="JACOB "/>
    <s v="ESPONDILITESIS "/>
    <s v="TORNI/CAGE/DRILL"/>
    <m/>
    <s v="ACEPTADO"/>
    <s v="PARANÁ"/>
    <x v="0"/>
    <m/>
  </r>
  <r>
    <x v="45"/>
    <s v="BATTAGLIERO ERNESTO"/>
    <n v="62"/>
    <n v="13428662"/>
    <s v="SAPETTI"/>
    <s v="GONARTROSIS"/>
    <s v="PTR ANATOMICA "/>
    <s v="IP MAGNA "/>
    <s v="ACEPTADO"/>
    <s v="PARANÁ"/>
    <x v="1"/>
    <m/>
  </r>
  <r>
    <x v="45"/>
    <s v="VAZQUEZ MIGUEL "/>
    <n v="60"/>
    <n v="14718685"/>
    <s v="STOPELLO"/>
    <s v="GONARTROSIS"/>
    <s v="PTR ANATOMICA "/>
    <s v="IP MAGNA "/>
    <s v="ACEPTADO"/>
    <s v="PARANÁ"/>
    <x v="1"/>
    <m/>
  </r>
  <r>
    <x v="45"/>
    <s v="MOREYRA EMILIO"/>
    <n v="63"/>
    <n v="13546729"/>
    <s v="GARCIA VITOR"/>
    <s v="GONARTROSIS"/>
    <s v="PTR ANATOMICA "/>
    <s v="IP MAGNA "/>
    <s v="ACEPTADO"/>
    <s v="PARANÁ"/>
    <x v="1"/>
    <m/>
  </r>
  <r>
    <x v="46"/>
    <s v="CORIA JORGE ANSELMO"/>
    <n v="64"/>
    <n v="12716310"/>
    <s v="GARCIA VITOR"/>
    <s v="FX PLATILLO "/>
    <s v="PLACA T Y L"/>
    <s v="VILLALBA "/>
    <s v="ACEPTADO"/>
    <s v="PARANÁ"/>
    <x v="1"/>
    <m/>
  </r>
  <r>
    <x v="46"/>
    <s v="MARIZZA HECTOR LUIS "/>
    <n v="74"/>
    <n v="4992853"/>
    <m/>
    <m/>
    <m/>
    <s v="VILLALBA "/>
    <s v="RECHAZADO"/>
    <s v="PARANÁ"/>
    <x v="1"/>
    <m/>
  </r>
  <r>
    <x v="46"/>
    <s v="PORTORREAL ROSA "/>
    <n v="85"/>
    <n v="3545213"/>
    <s v="MERLINI"/>
    <s v="FX TOBILLO"/>
    <s v="PLACA TERCIO TUBO"/>
    <s v="VILLALVA "/>
    <s v="ACEPTADO"/>
    <s v="PARANÁ"/>
    <x v="1"/>
    <m/>
  </r>
  <r>
    <x v="46"/>
    <s v="VILLAVERDE MATIAS "/>
    <n v="40"/>
    <n v="29515470"/>
    <s v="MERLINI"/>
    <s v="FX MUÑECA"/>
    <s v="PLCA DOBLE/TERCIO TUBO"/>
    <m/>
    <s v="ACEPTADO"/>
    <s v="PARANÁ"/>
    <x v="0"/>
    <m/>
  </r>
  <r>
    <x v="47"/>
    <s v="buschiazzo j carlos "/>
    <n v="52"/>
    <n v="21839502"/>
    <s v="SAPETTI"/>
    <s v="artrosis bilateral "/>
    <s v="RTR ANATOMICA "/>
    <m/>
    <s v="ACEPTADO"/>
    <s v="DIAMANTE "/>
    <x v="0"/>
    <m/>
  </r>
  <r>
    <x v="47"/>
    <s v="QUIROZ MAIRA "/>
    <n v="27"/>
    <n v="39259715"/>
    <s v="MERLINI"/>
    <s v="FX TOBILLO"/>
    <s v="PLACA TERCIO TUBO"/>
    <m/>
    <s v="ACEPTADO"/>
    <s v="PARANÁ"/>
    <x v="0"/>
    <m/>
  </r>
  <r>
    <x v="47"/>
    <s v="MENDOZA NORATA "/>
    <n v="87"/>
    <n v="234686"/>
    <s v="MERLINI"/>
    <s v="FX CADERA "/>
    <s v="CLAVO GAMMA "/>
    <s v="VILLALBA "/>
    <s v="ACEPTADO"/>
    <s v="PARANÁ"/>
    <x v="1"/>
    <m/>
  </r>
  <r>
    <x v="47"/>
    <s v="GERMANO CARMELA "/>
    <n v="92"/>
    <n v="1077425"/>
    <s v="MERLINI"/>
    <s v="FX CADERA "/>
    <s v="CLAVO DHS"/>
    <s v="VILLALBA "/>
    <s v="ACEPTADO"/>
    <s v="PARANÁ"/>
    <x v="1"/>
    <m/>
  </r>
  <r>
    <x v="47"/>
    <s v="IRIARTE MAURO"/>
    <n v="41"/>
    <n v="24439653"/>
    <s v="MERLINI"/>
    <s v="FX TOBILLO"/>
    <s v="PLACA TERCIO TUBO "/>
    <m/>
    <s v="ACEPTADO"/>
    <s v="PARANÁ"/>
    <x v="0"/>
    <m/>
  </r>
  <r>
    <x v="48"/>
    <s v="LOPEZ CLAUDIO "/>
    <n v="49"/>
    <n v="23450092"/>
    <s v="GARCIA VITOR"/>
    <s v="NOA"/>
    <s v="PTC NO CEMENT"/>
    <m/>
    <s v="ACEPTADO"/>
    <s v="PARANÁ"/>
    <x v="0"/>
    <m/>
  </r>
  <r>
    <x v="48"/>
    <s v="LUNA RAMON "/>
    <m/>
    <m/>
    <m/>
    <m/>
    <m/>
    <m/>
    <s v="ACEPTADO"/>
    <s v="BOVRIL"/>
    <x v="0"/>
    <m/>
  </r>
  <r>
    <x v="48"/>
    <s v="OLIVETTI PRISCILA "/>
    <n v="17"/>
    <m/>
    <m/>
    <s v="NOA"/>
    <s v="PTC NO CEMENT"/>
    <m/>
    <s v="ACEPTADO"/>
    <s v="CONCORDIA "/>
    <x v="0"/>
    <m/>
  </r>
  <r>
    <x v="48"/>
    <s v="TORRES ALBINA "/>
    <n v="63"/>
    <n v="13376784"/>
    <s v="STOPELLO"/>
    <s v="GONARTROSIS"/>
    <s v="ESPACIADOR "/>
    <s v="VILLALBA"/>
    <s v="ACEPTADO"/>
    <s v="PARANÁ"/>
    <x v="1"/>
    <m/>
  </r>
  <r>
    <x v="48"/>
    <s v="RIOS CRISPIN "/>
    <n v="75"/>
    <m/>
    <s v="YACOMO"/>
    <s v="GONARTROSIS"/>
    <s v="PTR PRIMARIA "/>
    <s v="VILLALBA"/>
    <s v="ACEPTADO"/>
    <s v="PARANÁ"/>
    <x v="1"/>
    <m/>
  </r>
  <r>
    <x v="48"/>
    <s v="ARRUA RAQUEL "/>
    <m/>
    <m/>
    <s v="CESAR MEYNET"/>
    <s v="GONARTROSIS"/>
    <s v="PTR ANATOMICA "/>
    <s v="VILLALBA"/>
    <s v="ACEPTADO"/>
    <s v="PARANÁ"/>
    <x v="1"/>
    <m/>
  </r>
  <r>
    <x v="48"/>
    <s v="MUÑOZ CLARA "/>
    <n v="69"/>
    <n v="11200310"/>
    <s v="YACOMO"/>
    <s v="GONARTROSIS"/>
    <s v="PTR ANATOMICA "/>
    <s v="IP MAGNA "/>
    <s v="ACEPTADO"/>
    <s v="PARANÁ"/>
    <x v="1"/>
    <m/>
  </r>
  <r>
    <x v="48"/>
    <s v="HOFSTETTER MARTA "/>
    <n v="64"/>
    <n v="12756080"/>
    <s v="MERLINI"/>
    <s v="FX HUMERO"/>
    <s v="CLAVO ENDOM. "/>
    <s v="VILLALBA"/>
    <s v="ACEPTADO"/>
    <s v="PARANÁ"/>
    <x v="1"/>
    <m/>
  </r>
  <r>
    <x v="48"/>
    <s v="FRIES RUBEN "/>
    <n v="70"/>
    <n v="10696480"/>
    <s v="GARCIA VITOR"/>
    <s v="COXARTROSIS "/>
    <s v="PTC HIBRIDA "/>
    <s v="IP MAGNA "/>
    <s v="ACEPTADO"/>
    <s v="FEDERAL"/>
    <x v="1"/>
    <m/>
  </r>
  <r>
    <x v="48"/>
    <s v="RODRIGUEZ ESTEBAN "/>
    <n v="24"/>
    <n v="41188144"/>
    <s v="YACOMO"/>
    <s v="LCA"/>
    <s v="TORN/BOTON CORT."/>
    <m/>
    <s v="ACEPTADO"/>
    <s v="PARANÁ"/>
    <x v="0"/>
    <m/>
  </r>
  <r>
    <x v="48"/>
    <s v="DIEDERLE LEONOR "/>
    <n v="64"/>
    <n v="13043543"/>
    <s v="MERLINI"/>
    <s v="FX CODO"/>
    <s v="PLACA LCP"/>
    <s v="VILLALBA "/>
    <s v="ACEPTADO"/>
    <s v="PARANÁ"/>
    <x v="1"/>
    <m/>
  </r>
  <r>
    <x v="48"/>
    <s v="ALMARA IRMA "/>
    <n v="67"/>
    <m/>
    <s v="SAPETTI"/>
    <s v="GONARTROSIS"/>
    <s v="PTR ANATOMICA "/>
    <s v="IP MAGNA "/>
    <s v="ACEPTADO"/>
    <s v="PARANÁ"/>
    <x v="1"/>
    <m/>
  </r>
  <r>
    <x v="49"/>
    <s v="OCAMPO NICOLAS "/>
    <n v="22"/>
    <n v="43186226"/>
    <s v="MERLINI"/>
    <s v="FX MUÑECA "/>
    <s v="PLACA DOBLE VOLAR "/>
    <m/>
    <s v="ACEPTADO"/>
    <s v="HERNANDARIAS "/>
    <x v="0"/>
    <m/>
  </r>
  <r>
    <x v="50"/>
    <s v="SCHONFELD MARIA LUISA"/>
    <n v="58"/>
    <n v="16955111"/>
    <s v="MERLINI"/>
    <s v="FX  MTC"/>
    <s v="PLACA LCP"/>
    <m/>
    <s v="INICIADO"/>
    <s v="PARANÁ"/>
    <x v="0"/>
    <m/>
  </r>
  <r>
    <x v="51"/>
    <s v="LUNA JOSE "/>
    <n v="58"/>
    <n v="17044058"/>
    <s v="SAPETTI"/>
    <s v="LUX REV CADERA "/>
    <s v="ESPACIADOR "/>
    <m/>
    <s v="ACEPTADO"/>
    <s v="PARANÁ"/>
    <x v="0"/>
    <m/>
  </r>
  <r>
    <x v="51"/>
    <s v="LACOMBE SANTIAGO"/>
    <n v="16"/>
    <n v="47408021"/>
    <s v="HERMIDA "/>
    <s v="LCA"/>
    <s v="TORN/BOTON CORT."/>
    <m/>
    <s v="ACEPTADO"/>
    <s v="LA PAZ "/>
    <x v="0"/>
    <m/>
  </r>
  <r>
    <x v="51"/>
    <s v="MATTEODA HECTOR "/>
    <n v="75"/>
    <m/>
    <s v="SAPETTI"/>
    <s v="GONARTROSIS"/>
    <s v="PTR ANATOMICA "/>
    <s v="VILLALVA"/>
    <s v="ACEPTADO"/>
    <s v="PARANÁ"/>
    <x v="1"/>
    <m/>
  </r>
  <r>
    <x v="51"/>
    <s v="CABAÑA MANUEL"/>
    <n v="71"/>
    <n v="110413279"/>
    <s v="VENTURI"/>
    <s v="LES MANG ROT "/>
    <s v="ARPONES "/>
    <s v="VILLALBA "/>
    <s v="ACEPTADO"/>
    <s v="PARANÁ"/>
    <x v="1"/>
    <m/>
  </r>
  <r>
    <x v="51"/>
    <s v="ARANGUIS BLANCA "/>
    <n v="62"/>
    <n v="14353510"/>
    <s v="VENTURI"/>
    <s v="GONARTROSIS"/>
    <s v="PTR ANATOMICA "/>
    <s v="IP MAGNA "/>
    <s v="INICIADO"/>
    <s v="PARANÁ"/>
    <x v="1"/>
    <m/>
  </r>
  <r>
    <x v="0"/>
    <s v="GOMEZ AGUSTIN "/>
    <n v="25"/>
    <n v="40691229"/>
    <s v="THOMPSOM"/>
    <s v="FX CLAVICULA "/>
    <s v="PLACA A NATOM. BLOQ, "/>
    <m/>
    <s v="ACEPTADO"/>
    <s v="BOVRIL"/>
    <x v="0"/>
    <n v="3438444965"/>
  </r>
  <r>
    <x v="0"/>
    <s v="GAMBINO FRANCISCO "/>
    <n v="66"/>
    <n v="12756682"/>
    <s v="MERLINI"/>
    <s v="FX TOBILLO"/>
    <s v="PLACA TER.TUBO"/>
    <s v="VILLALBA"/>
    <s v="ACEPTADO"/>
    <s v="PARANÁ"/>
    <x v="1"/>
    <m/>
  </r>
  <r>
    <x v="0"/>
    <s v="ROCCOSALVO NOEMI "/>
    <n v="83"/>
    <n v="8589604"/>
    <s v="MERLINI"/>
    <s v="FX CADERA "/>
    <s v="CLAVO GAMMA "/>
    <s v="VILLALBA "/>
    <s v="ACEPTADO"/>
    <s v="PARANÁ"/>
    <x v="1"/>
    <m/>
  </r>
  <r>
    <x v="0"/>
    <s v="LUQUEZ MARIA"/>
    <n v="70"/>
    <n v="10282387"/>
    <s v="MERLINI"/>
    <s v="FX CADERA "/>
    <s v="CLAVO DHS"/>
    <s v="VILLALBA"/>
    <s v="ACEPTADO"/>
    <s v="PARANÁ"/>
    <x v="1"/>
    <m/>
  </r>
  <r>
    <x v="0"/>
    <s v="TESSARINI NORMA"/>
    <n v="93"/>
    <n v="5358906"/>
    <s v="MERLINI"/>
    <s v="FX CAEDRA "/>
    <s v="CLAVODHS"/>
    <s v="VILLALBA"/>
    <s v="INICIADO"/>
    <s v="PARANÁ"/>
    <x v="1"/>
    <m/>
  </r>
  <r>
    <x v="0"/>
    <s v="AGUILAR ANTONIO"/>
    <n v="63"/>
    <n v="13142698"/>
    <s v="GREGORUTTI"/>
    <s v="GONARTROSIS"/>
    <s v="PTR ANATOMICA "/>
    <m/>
    <s v="ACEPTADO"/>
    <s v="CRESPO"/>
    <x v="0"/>
    <m/>
  </r>
  <r>
    <x v="0"/>
    <s v="PASUTTI JUAN "/>
    <n v="76"/>
    <n v="5956774"/>
    <s v="SAPETTI"/>
    <s v="GONARTROSIS"/>
    <s v="PTR ANATOMICA "/>
    <s v="VILLALBA "/>
    <s v="ACEPTADO"/>
    <s v="PARANÁ"/>
    <x v="1"/>
    <m/>
  </r>
  <r>
    <x v="0"/>
    <s v="LUNA FEDERICO"/>
    <n v="34"/>
    <n v="34057924"/>
    <s v="MERLINI"/>
    <s v="FX HUMERO"/>
    <s v="PLACA PHILOS"/>
    <m/>
    <s v="INICIADO"/>
    <s v="PARANÁ"/>
    <x v="0"/>
    <m/>
  </r>
  <r>
    <x v="52"/>
    <s v="TROITIÑO MARGARITA "/>
    <n v="82"/>
    <n v="3806234"/>
    <s v="MERLINI"/>
    <s v="FX CADERA "/>
    <s v="PTC CEMENT/COTILO DOBLE "/>
    <s v="VILLALBA"/>
    <s v="ACEPTADO"/>
    <s v="PARANÁ"/>
    <x v="1"/>
    <m/>
  </r>
  <r>
    <x v="52"/>
    <s v="CABALLERO JOSE CARLOS"/>
    <n v="83"/>
    <n v="8476126"/>
    <s v="PELEGRINI"/>
    <s v="COXARTROSIS "/>
    <s v="PTC HIBRIDA "/>
    <s v="VILLALBA "/>
    <s v="ACEPTADO"/>
    <s v="PARANÁ"/>
    <x v="1"/>
    <m/>
  </r>
  <r>
    <x v="52"/>
    <s v="VIGGIANO SERGIO"/>
    <n v="50"/>
    <n v="25032638"/>
    <s v="SAPETTI"/>
    <m/>
    <s v="PTR ANATOMICA "/>
    <m/>
    <s v="ACEPTADO"/>
    <s v="PARANÁ"/>
    <x v="0"/>
    <m/>
  </r>
  <r>
    <x v="53"/>
    <s v="GARCILAO ERNESTO"/>
    <n v="78"/>
    <n v="8450009"/>
    <s v="GARCIA VITOR"/>
    <s v="GENU VARO"/>
    <s v="PTR ANATMICA  MOD"/>
    <s v="VILLALBA "/>
    <s v="ACEPTADO"/>
    <s v="PARANÁ"/>
    <x v="1"/>
    <m/>
  </r>
  <r>
    <x v="53"/>
    <s v="FANGI SUSANA "/>
    <n v="63"/>
    <n v="13632345"/>
    <s v="GARCIA VITOR"/>
    <s v="COXARTROSIS"/>
    <s v="PTC ANATOMICA MOD"/>
    <s v="IP MAGNA "/>
    <s v="ACEPTADO"/>
    <s v="PARANÁ"/>
    <x v="1"/>
    <m/>
  </r>
  <r>
    <x v="54"/>
    <s v="GERSTNER MARIA "/>
    <n v="89"/>
    <n v="2364193"/>
    <s v="MERLINI"/>
    <s v="FX HUMERO"/>
    <s v="PLACA PHILOS "/>
    <s v="VILLALBA "/>
    <s v="ACEPTADO"/>
    <s v="PARANÁ"/>
    <x v="1"/>
    <n v="3436119888"/>
  </r>
  <r>
    <x v="54"/>
    <s v="CURAC CEFERINA "/>
    <n v="87"/>
    <n v="2272546"/>
    <s v="MERLINI"/>
    <s v="FX CADERA "/>
    <s v="CLAVO GAMMA"/>
    <s v="VILLALBA "/>
    <s v="ACEPTADO"/>
    <s v="PARANÁ"/>
    <x v="1"/>
    <m/>
  </r>
  <r>
    <x v="55"/>
    <s v="DUARTE BLANCA "/>
    <n v="72"/>
    <n v="6501516"/>
    <s v="MERLINI"/>
    <s v="FX HUMERO"/>
    <s v="PLACA PHILOS "/>
    <s v="VILLALBA "/>
    <s v="ACEPTADO"/>
    <s v="PARANÁ"/>
    <x v="1"/>
    <m/>
  </r>
  <r>
    <x v="56"/>
    <s v="PALACIOS MIGUEL"/>
    <n v="72"/>
    <n v="8509629"/>
    <s v="MERLINI"/>
    <s v="FX CODO"/>
    <s v="PLACA RECONST "/>
    <s v="VILLALBA "/>
    <s v="ACEPTADO"/>
    <s v="PARANÁ"/>
    <x v="1"/>
    <m/>
  </r>
  <r>
    <x v="57"/>
    <s v="LUNA MAURICIA "/>
    <n v="75"/>
    <n v="5135048"/>
    <s v="YACOMO"/>
    <s v="FX CADERA "/>
    <s v="CLAVO GAMMA"/>
    <s v="VILLALBA "/>
    <s v="ACEPTADO"/>
    <s v="PARANÁ"/>
    <x v="1"/>
    <m/>
  </r>
  <r>
    <x v="57"/>
    <s v="GOMEZ MARIO"/>
    <n v="67"/>
    <n v="11584433"/>
    <s v="MERLINI"/>
    <s v="FX MUÑECA "/>
    <s v="PLACA  DOBLE HILERA DIS "/>
    <s v="VILLALBA "/>
    <s v="ACEPTADO"/>
    <s v="PARANÁ"/>
    <x v="1"/>
    <m/>
  </r>
  <r>
    <x v="57"/>
    <s v="BERTOLI ALFREDO"/>
    <n v="52"/>
    <n v="21511996"/>
    <s v="GARCIA VITOR"/>
    <s v="NECROSIS"/>
    <s v="PTC NO CEMENTADA"/>
    <s v="IP MAGNA "/>
    <s v="ACEPTADO"/>
    <s v="PARANÁ"/>
    <x v="1"/>
    <n v="3435114763"/>
  </r>
  <r>
    <x v="58"/>
    <s v="RICKERT CATALINA "/>
    <n v="89"/>
    <n v="2364080"/>
    <s v="MERLINI"/>
    <s v="FX CADERA "/>
    <s v="TORN. CANUL"/>
    <s v="VILLALBA "/>
    <s v="ACEPTADO"/>
    <s v="PARANÁ"/>
    <x v="1"/>
    <m/>
  </r>
  <r>
    <x v="58"/>
    <s v="BERUTTI SILVIA "/>
    <n v="66"/>
    <n v="14094935"/>
    <s v="SAPETTI"/>
    <s v="INFCC.PROTESICA "/>
    <s v="TUTOR MONOPL. "/>
    <s v="VILLALBA "/>
    <s v="ACEPTADO"/>
    <s v="PARANÁ"/>
    <x v="1"/>
    <m/>
  </r>
  <r>
    <x v="58"/>
    <s v="BRAVO MIRTA RAQUEL"/>
    <m/>
    <m/>
    <s v="SAPETTI"/>
    <s v="GONARTROSIS"/>
    <s v="RTR PRIMARIO"/>
    <s v="IP MAGNA "/>
    <s v="ACEPTADO"/>
    <s v="PARANÁ"/>
    <x v="1"/>
    <m/>
  </r>
  <r>
    <x v="59"/>
    <s v="CABAÑA ANTONIO "/>
    <n v="68"/>
    <n v="11513312"/>
    <s v="CATRIEL GODOY"/>
    <s v="COXALGIA"/>
    <s v="PTC NO CEMENTADA"/>
    <s v="IP MAGNA "/>
    <s v="ACEPTADO"/>
    <s v="PARANÁ"/>
    <x v="1"/>
    <m/>
  </r>
  <r>
    <x v="59"/>
    <s v="CUELLO MIGUEL "/>
    <n v="66"/>
    <n v="13142715"/>
    <s v="GARCIA VITOR"/>
    <s v="COXALGIA"/>
    <s v="PTC REV/COTILLO DOBLE "/>
    <s v="IP MAGNA "/>
    <s v="ACEPTADO"/>
    <s v="PARANÁ"/>
    <x v="1"/>
    <m/>
  </r>
  <r>
    <x v="59"/>
    <s v="OLMOS NICOLASA"/>
    <n v="84"/>
    <n v="3935455"/>
    <s v="UCEDO"/>
    <s v="FX CADERA "/>
    <s v="PC CEMENT /COTILO DOBLE"/>
    <s v="VILLALBA "/>
    <s v="ACEPTADO"/>
    <s v="PARANÁ"/>
    <x v="1"/>
    <m/>
  </r>
  <r>
    <x v="59"/>
    <s v="MEDINA MARIA CRISTINA "/>
    <n v="67"/>
    <n v="11584648"/>
    <s v="CESAR MEYNET"/>
    <s v="ARTROSIS ROD"/>
    <s v="PTR ANATMICA  MOD"/>
    <s v="IP MAGNA "/>
    <s v="ACEPTADO"/>
    <s v="PARANÁ"/>
    <x v="1"/>
    <m/>
  </r>
  <r>
    <x v="60"/>
    <s v="RIVASSEAU RAUL "/>
    <n v="75"/>
    <n v="4625662"/>
    <s v="UCEDO"/>
    <s v="ARTROSIS TOB"/>
    <s v="TORN. CANUL"/>
    <s v="VILLALBA "/>
    <s v="ACEPTADO"/>
    <s v="PARANÁ"/>
    <x v="1"/>
    <n v="154711411"/>
  </r>
  <r>
    <x v="60"/>
    <s v="AMARILLO BEATRIZ "/>
    <n v="47"/>
    <n v="24828114"/>
    <s v="JACOB "/>
    <s v="LUMBOCIATALGIA "/>
    <s v="BARRAS/TORN/CAGE/DRILL"/>
    <m/>
    <s v="INICIADO "/>
    <s v="NOGOYA "/>
    <x v="0"/>
    <n v="3435612939"/>
  </r>
  <r>
    <x v="60"/>
    <s v="STRACK ZUNILDA "/>
    <n v="73"/>
    <n v="6212694"/>
    <s v="HERMIDA "/>
    <s v="ARTROSIS ROD "/>
    <s v="RPP RODILLA IZQ "/>
    <s v="VILLALBA "/>
    <s v="ACEPTADO"/>
    <s v="PARANÁ"/>
    <x v="1"/>
    <n v="155446668"/>
  </r>
  <r>
    <x v="61"/>
    <s v="FERNANDEZ MARTA "/>
    <n v="53"/>
    <n v="21564091"/>
    <s v="GARCIA VITOR"/>
    <s v="FALLA PTRT."/>
    <s v="CLAVO TIPO MULLER"/>
    <m/>
    <s v="INICIADO "/>
    <s v="CRESPO"/>
    <x v="0"/>
    <n v="3434672320"/>
  </r>
  <r>
    <x v="62"/>
    <s v="OCAMPO PERDO"/>
    <n v="71"/>
    <n v="10744015"/>
    <s v="YACOMO"/>
    <s v="GENU VARO"/>
    <s v="PTR ANATMICA  MOD"/>
    <s v="VILLALBA "/>
    <s v="ACEPTADO"/>
    <s v="PARANÁ"/>
    <x v="1"/>
    <n v="155116005"/>
  </r>
  <r>
    <x v="62"/>
    <s v="RODRIGUEZ SANTOS"/>
    <n v="24"/>
    <n v="41176402"/>
    <s v="GARCIA VITOR"/>
    <s v="LCA"/>
    <s v="TORN. BOTON/HDH"/>
    <m/>
    <s v="INICIADO "/>
    <s v="VILLAGUAY"/>
    <x v="0"/>
    <n v="3455402807"/>
  </r>
  <r>
    <x v="62"/>
    <s v="FLORES MIGUEL ANGEL "/>
    <n v="47"/>
    <n v="24630038"/>
    <s v="GARCIA VITOR"/>
    <s v="LCA"/>
    <s v="TORN.BOTON"/>
    <m/>
    <s v="ACEPTADO"/>
    <s v="VIALE"/>
    <x v="0"/>
    <m/>
  </r>
  <r>
    <x v="63"/>
    <s v="VALENTINUZ NELLI TERESITA"/>
    <n v="91"/>
    <n v="2811037"/>
    <s v="MERLINI"/>
    <s v="FX CADERA "/>
    <s v="CLAVO GAMMA"/>
    <s v="VILLALBA "/>
    <s v="ACEPTADO"/>
    <s v="PARANÁ"/>
    <x v="1"/>
    <m/>
  </r>
  <r>
    <x v="63"/>
    <s v="BARROSO MAGDALENA "/>
    <n v="87"/>
    <n v="2355245"/>
    <s v="MERLINI"/>
    <s v="FX CADERA "/>
    <s v="CLAVO GAMMA"/>
    <s v="VILLALBA "/>
    <s v="ACEPTADO"/>
    <s v="NOGOYA "/>
    <x v="1"/>
    <m/>
  </r>
  <r>
    <x v="63"/>
    <s v="LUGON TERESITA BEATRIZ "/>
    <n v="73"/>
    <m/>
    <s v="MERLINI"/>
    <s v="FX MUÑECA "/>
    <s v="PACA VOLAR"/>
    <s v="VILLALBA "/>
    <s v="ACEPTADO"/>
    <s v="PARANÁ"/>
    <x v="1"/>
    <m/>
  </r>
  <r>
    <x v="64"/>
    <s v="ALGUIBE LAURA "/>
    <n v="48"/>
    <n v="23880606"/>
    <s v="VENTURI"/>
    <s v="FX HUMERO"/>
    <s v="PLACA PHILOS "/>
    <s v="VILLALBA "/>
    <s v="ACEPTADO"/>
    <s v="PARANÁ"/>
    <x v="1"/>
    <m/>
  </r>
  <r>
    <x v="64"/>
    <s v="PIROLA BETIS "/>
    <m/>
    <n v="1120740"/>
    <s v="SUKSDORF"/>
    <s v="COXARTROSIS"/>
    <s v="PTC CEMEN/COTILO DOB"/>
    <s v="VILLALBA "/>
    <s v="ACEPTADO"/>
    <s v="PARANÁ"/>
    <x v="1"/>
    <m/>
  </r>
  <r>
    <x v="64"/>
    <s v="DIGIOBANI LUCAS "/>
    <n v="16"/>
    <n v="47845682"/>
    <s v="YACOMO"/>
    <s v="RUP DE ROTULA "/>
    <s v="ARP/TORN/STRPPER"/>
    <m/>
    <s v="INICIADO "/>
    <s v="PARANÁ"/>
    <x v="0"/>
    <n v="154196446"/>
  </r>
  <r>
    <x v="64"/>
    <s v="GUTIERREZ DORALISA "/>
    <n v="71"/>
    <n v="10851043"/>
    <s v="SUKSDORF"/>
    <s v="GONARTROSIS"/>
    <s v="PTR PRIMARIA "/>
    <s v="VILLALBA "/>
    <s v="ACEPTADO"/>
    <s v="PARANÁ"/>
    <x v="1"/>
    <m/>
  </r>
  <r>
    <x v="64"/>
    <s v="MONTEROS MARIA "/>
    <n v="77"/>
    <n v="5178930"/>
    <s v="SUKSDORF"/>
    <s v="COXARTROSIS"/>
    <s v="PTC CEMEN/COTILO DOB"/>
    <s v="VILLALBA "/>
    <s v="ACEPTADO"/>
    <s v="PARANÁ"/>
    <x v="1"/>
    <m/>
  </r>
  <r>
    <x v="65"/>
    <s v="FROSCHAUER MIKEL"/>
    <n v="25"/>
    <n v="40790712"/>
    <s v="PELEGRINI"/>
    <s v="LCA "/>
    <s v="TORN INTRF/BOTON "/>
    <m/>
    <s v="ACEPTADO"/>
    <s v="PARANÁ"/>
    <x v="0"/>
    <m/>
  </r>
  <r>
    <x v="66"/>
    <s v="LEIVA EDUARDO "/>
    <n v="56"/>
    <n v="17722584"/>
    <s v="SAPETTI"/>
    <s v="GONALGIA "/>
    <s v="PTR ANAT. MODULAR"/>
    <m/>
    <s v="ACEPTADO"/>
    <s v="PARANÁ"/>
    <x v="0"/>
    <n v="15568726"/>
  </r>
  <r>
    <x v="67"/>
    <s v="MOREYRA MARTA "/>
    <n v="63"/>
    <n v="13883697"/>
    <s v="SAPETTI"/>
    <s v="COXARTROSIS"/>
    <s v="PTC CEMENTADA "/>
    <m/>
    <s v="ACEPTADO"/>
    <s v="PARANÁ"/>
    <x v="0"/>
    <n v="3436221468"/>
  </r>
  <r>
    <x v="67"/>
    <s v="FRANCO LEONARDO"/>
    <n v="38"/>
    <n v="30829356"/>
    <s v="UCEDO"/>
    <s v="ARTROSIS"/>
    <s v="TORN. ESPONJA P.OSTEO"/>
    <m/>
    <s v="INICIADO"/>
    <s v="PARANÁ"/>
    <x v="0"/>
    <n v="155319069"/>
  </r>
  <r>
    <x v="68"/>
    <s v="STTINER VERONICA"/>
    <n v="76"/>
    <m/>
    <s v="UCEDO"/>
    <s v="FX CADERA "/>
    <s v="PTC CEMEN/C DOBLE "/>
    <s v="VILLALBA "/>
    <s v="ACEPTADO"/>
    <s v="PARANÁ"/>
    <x v="1"/>
    <m/>
  </r>
  <r>
    <x v="68"/>
    <s v="PODVERCICH BRIAN "/>
    <n v="23"/>
    <n v="42581168"/>
    <s v="GARCIA VITOR"/>
    <s v="LCA "/>
    <s v="TORN INTERF/BOTON"/>
    <s v="VILLALBA "/>
    <s v="ACEPTADO"/>
    <s v="HASENKAMP"/>
    <x v="1"/>
    <m/>
  </r>
  <r>
    <x v="69"/>
    <s v="ZALAZAR DIANA "/>
    <n v="49"/>
    <n v="23632418"/>
    <s v="CESAR MEYNET"/>
    <s v="GENU VARO"/>
    <s v="PLACA PUDDU"/>
    <m/>
    <s v="INICIADO"/>
    <s v="SANTA ELENA "/>
    <x v="0"/>
    <n v="3437417323"/>
  </r>
  <r>
    <x v="70"/>
    <s v="GADEA RUDECINDO"/>
    <n v="69"/>
    <n v="11067394"/>
    <s v="SAPETTI"/>
    <s v="REVICION "/>
    <s v="PTC/COT/P.CABLE/TORN "/>
    <s v="VILLALBA "/>
    <s v="ACEPTADO"/>
    <s v="RAMIREZ "/>
    <x v="1"/>
    <m/>
  </r>
  <r>
    <x v="71"/>
    <s v="FRANCO LEONARDO"/>
    <n v="38"/>
    <n v="30829356"/>
    <s v="UCEDO"/>
    <s v="ART. ASTRAGALO"/>
    <s v="P.OSTEOSISNTESIS"/>
    <m/>
    <s v="ACEPTADO"/>
    <s v="PARANÁ"/>
    <x v="0"/>
    <n v="155699069"/>
  </r>
  <r>
    <x v="72"/>
    <s v="DUARTE ROXANA "/>
    <n v="42"/>
    <n v="28931104"/>
    <s v="CESAR MEYNET"/>
    <s v="NOA"/>
    <s v="PTC NO CEMENT"/>
    <m/>
    <s v="ACEPTADO"/>
    <s v="VIALE"/>
    <x v="0"/>
    <n v="3425042727"/>
  </r>
  <r>
    <x v="73"/>
    <s v="SUKMANOWSKI MARIAN "/>
    <n v="75"/>
    <n v="92769581"/>
    <s v="PEÑA TANIA"/>
    <s v="FX CADERA"/>
    <s v="PTC CEMEN/COTILO"/>
    <s v="VILLALBA "/>
    <s v="ACEPTADO"/>
    <s v="PARANÁ"/>
    <x v="1"/>
    <m/>
  </r>
  <r>
    <x v="73"/>
    <s v="CORONEL DORA "/>
    <n v="71"/>
    <n v="10069834"/>
    <s v="PEÑA TANIA"/>
    <s v="FX MUÑECA "/>
    <s v="PLACA EDR"/>
    <s v="VILLALBA "/>
    <s v="ACEPTADO"/>
    <s v="PARANÁ"/>
    <x v="1"/>
    <m/>
  </r>
  <r>
    <x v="73"/>
    <s v="SEPPEY STELLA "/>
    <n v="66"/>
    <n v="12772585"/>
    <s v="MERLINI"/>
    <s v="FX MUÑECA "/>
    <s v="PLACA EDR"/>
    <s v="VILLALBA "/>
    <s v="ACEPTADO"/>
    <s v="PARANÁ"/>
    <x v="1"/>
    <m/>
  </r>
  <r>
    <x v="74"/>
    <s v="ZAPATA MIRTA "/>
    <n v="51"/>
    <n v="26809546"/>
    <s v="YACOMO"/>
    <s v="LCA "/>
    <s v="TORNILL/BOTON "/>
    <m/>
    <s v="ACEPTADO"/>
    <s v="PARANÁ"/>
    <x v="0"/>
    <n v="3435301066"/>
  </r>
  <r>
    <x v="75"/>
    <s v="OSORIA STELL M "/>
    <n v="59"/>
    <n v="17044917"/>
    <s v="URANGA "/>
    <s v="C. LUMBAR ESTCH"/>
    <s v="BARRAS/TORN/CAGE "/>
    <m/>
    <s v="ACEPTADO"/>
    <s v="PARANÁ"/>
    <x v="0"/>
    <n v="3436201996"/>
  </r>
  <r>
    <x v="76"/>
    <s v="ROTELA WALTER "/>
    <n v="25"/>
    <n v="40552627"/>
    <s v="HERMIDA "/>
    <s v="LCA "/>
    <s v="TORNILL/BOTON "/>
    <m/>
    <s v="ACEPTADO"/>
    <s v="PARANÁ"/>
    <x v="0"/>
    <m/>
  </r>
  <r>
    <x v="76"/>
    <s v="GOROSITO GASPAR"/>
    <n v="21"/>
    <n v="44033303"/>
    <s v="HERMIDA "/>
    <s v="LCA "/>
    <s v="TORNILL/BOTON "/>
    <m/>
    <s v="ACEPTADO"/>
    <s v="PARANÁ"/>
    <x v="0"/>
    <m/>
  </r>
  <r>
    <x v="77"/>
    <s v="VILLAVERDE FATIMA "/>
    <n v="23"/>
    <n v="42211526"/>
    <s v="YACOMO"/>
    <s v="LCA "/>
    <s v="TORNILL/BOTON "/>
    <m/>
    <s v="INICIADO"/>
    <s v="SEGUI "/>
    <x v="0"/>
    <n v="3435178408"/>
  </r>
  <r>
    <x v="77"/>
    <s v="FORGEZ LORENZA "/>
    <n v="61"/>
    <n v="14919809"/>
    <s v="MERLINI"/>
    <s v="FX CADERA"/>
    <s v="PTC HIBRIDA "/>
    <s v="IP MAGNA "/>
    <s v="ACEPTADO"/>
    <s v="PARANÁ"/>
    <x v="1"/>
    <m/>
  </r>
  <r>
    <x v="77"/>
    <s v="BECKER MERCEDES"/>
    <n v="57"/>
    <n v="11838932"/>
    <s v="MERLINI"/>
    <s v="FX MUÑECA "/>
    <s v="PLACA EDR"/>
    <s v="VILLALBA "/>
    <s v="ACEPTADO"/>
    <s v="PARANÁ"/>
    <x v="1"/>
    <m/>
  </r>
  <r>
    <x v="78"/>
    <s v="BARRIOS YOLANDA "/>
    <n v="66"/>
    <n v="12772212"/>
    <s v="MERLINI"/>
    <s v="FX HUMERO"/>
    <s v="PLACA PHILOS "/>
    <s v="VILLALBA "/>
    <s v="ACEPTADO"/>
    <s v="PARANÁ"/>
    <x v="1"/>
    <m/>
  </r>
  <r>
    <x v="78"/>
    <s v="CORVALAN MABEL"/>
    <n v="62"/>
    <n v="16048123"/>
    <s v="GARCIA VITOR"/>
    <s v="COXARTROSIS "/>
    <s v="PTC HIBRIDA "/>
    <s v="IP MAGNA "/>
    <s v="ACEPTADO"/>
    <s v="PARANÁ"/>
    <x v="1"/>
    <m/>
  </r>
  <r>
    <x v="78"/>
    <s v="GORO LIDIA "/>
    <n v="59"/>
    <n v="17278030"/>
    <s v="MERLINI"/>
    <s v="FX MUÑECA "/>
    <s v="PLACA VOLAR"/>
    <s v="VILLALBA "/>
    <s v="ACEPTADO"/>
    <s v="PARANÁ"/>
    <x v="1"/>
    <m/>
  </r>
  <r>
    <x v="79"/>
    <s v="SOSAYA JUAN FRANCISCO"/>
    <n v="63"/>
    <n v="13967245"/>
    <s v="GARCIA VITOR"/>
    <s v="FX CADERA"/>
    <s v="PPC BIPOLAR"/>
    <s v="IP MAGNA "/>
    <s v="ACEPTADO"/>
    <s v="PARANÁ"/>
    <x v="1"/>
    <m/>
  </r>
  <r>
    <x v="79"/>
    <s v="REINOSO VICTOR "/>
    <n v="56"/>
    <n v="18549823"/>
    <s v="GARCIA VITOR"/>
    <s v="COXARTROSIS "/>
    <s v="RTC NO CEMENT "/>
    <s v="IP MAGNA "/>
    <s v="ACEPTADO"/>
    <s v="PARANÁ"/>
    <x v="1"/>
    <n v="3435000272"/>
  </r>
  <r>
    <x v="80"/>
    <s v="LOPEZ IGNACIO"/>
    <n v="67"/>
    <n v="12284379"/>
    <s v="MERLINI"/>
    <s v="FX TIBIA-PERONE "/>
    <s v="CLAVO GAMMA"/>
    <s v="VILLALBA "/>
    <s v="ACEPTADO"/>
    <s v="PARANÁ"/>
    <x v="1"/>
    <m/>
  </r>
  <r>
    <x v="80"/>
    <s v="BOVIER SILVANO"/>
    <n v="82"/>
    <n v="5940565"/>
    <s v="MERLINI"/>
    <s v="FX CADERA"/>
    <s v="CLAVO GAMMA"/>
    <s v="VILLALBA "/>
    <s v="ACEPTADO"/>
    <s v="PARANÁ"/>
    <x v="1"/>
    <m/>
  </r>
  <r>
    <x v="81"/>
    <s v="ARCE EUFEMIO"/>
    <n v="70"/>
    <n v="11029712"/>
    <s v="YACOMO"/>
    <s v="GENU VARO"/>
    <s v="PTR ANATOMICA "/>
    <s v="IP MAGNA "/>
    <s v="ACEPTADO"/>
    <s v="PARANÁ"/>
    <x v="1"/>
    <m/>
  </r>
  <r>
    <x v="81"/>
    <s v="GOMEZ MARIO"/>
    <n v="68"/>
    <n v="11584433"/>
    <s v="STOPELLO"/>
    <s v="GENU VARO"/>
    <s v="PTR ANATOMICA "/>
    <s v="IP MAGNA "/>
    <s v="ACEPTADO"/>
    <s v="PARANÁ"/>
    <x v="1"/>
    <m/>
  </r>
  <r>
    <x v="82"/>
    <s v="CABRERA ROGELIA "/>
    <n v="89"/>
    <n v="3198883"/>
    <s v="UCEDO"/>
    <s v="FX CADERA"/>
    <s v="CLAVO GAMMA"/>
    <s v="VILLALBA "/>
    <s v="ACEPTADO"/>
    <s v="PARANÁ"/>
    <x v="1"/>
    <m/>
  </r>
  <r>
    <x v="82"/>
    <s v="VERGARA RAMONA "/>
    <n v="73"/>
    <n v="6211221"/>
    <s v="NARVAEZ"/>
    <s v="HALLUX VALGO"/>
    <s v="TOR HERBERT"/>
    <s v="VILLALBA "/>
    <s v="ACEPTADO"/>
    <s v="PARANÁ"/>
    <x v="1"/>
    <m/>
  </r>
  <r>
    <x v="82"/>
    <s v="SILVA ANA MARIA "/>
    <n v="68"/>
    <n v="6292932"/>
    <s v="UCEDO"/>
    <s v="GONARTROSIS"/>
    <s v="RTR ANATOMICA"/>
    <s v="IP MAGNA "/>
    <s v="ACEPTADO"/>
    <s v="PARANÁ"/>
    <x v="1"/>
    <m/>
  </r>
  <r>
    <x v="82"/>
    <s v="VILLAGRA JOSE"/>
    <n v="71"/>
    <n v="6079785"/>
    <s v="UCEDO"/>
    <s v="COXARTROSIS "/>
    <s v="PTC CEMEN/COTILO"/>
    <s v="VILLALBA "/>
    <s v="ACEPTADO"/>
    <s v="PARANÁ"/>
    <x v="1"/>
    <m/>
  </r>
  <r>
    <x v="82"/>
    <s v="FERREYRA MARIA DEL CARMEN "/>
    <n v="60"/>
    <n v="16048294"/>
    <s v="STOPELLO"/>
    <s v="GONARTROSIS"/>
    <s v="RTR ANATOMICA"/>
    <s v="IP MAGNA "/>
    <s v="ACEPTADO"/>
    <s v="PARANÁ"/>
    <x v="1"/>
    <m/>
  </r>
  <r>
    <x v="83"/>
    <s v="ARRUA JUANA"/>
    <n v="75"/>
    <n v="5712964"/>
    <s v="MERLINI"/>
    <s v="FX CADERA"/>
    <s v="PTC CEMEN/COTILO"/>
    <s v="VILLALBA "/>
    <s v="ACEPTADO"/>
    <s v="PARANÁ"/>
    <x v="1"/>
    <m/>
  </r>
  <r>
    <x v="84"/>
    <s v="CHARVEY ELSA "/>
    <n v="63"/>
    <n v="12756628"/>
    <s v="STOPELLO"/>
    <s v="GONARTROSIS"/>
    <s v="PTR ANATOMICA "/>
    <s v="IP MAGNA "/>
    <s v="ACEPTADO"/>
    <s v="PARANÁ"/>
    <x v="1"/>
    <m/>
  </r>
  <r>
    <x v="84"/>
    <s v="FONTANA ESTHER"/>
    <n v="75"/>
    <n v="3695740"/>
    <s v="GARCIA VITOR"/>
    <s v="FALLA OSTEOS "/>
    <s v="TALLO/COTILO"/>
    <s v="IP MAGNA "/>
    <s v="ACEPTADO"/>
    <s v="PARANÁ"/>
    <x v="1"/>
    <m/>
  </r>
  <r>
    <x v="84"/>
    <s v="GUTIERREZ DORALISA "/>
    <n v="66"/>
    <m/>
    <s v="SUKSDORF"/>
    <s v="GONARTROSIS"/>
    <s v="RTR ANATM. MODUL"/>
    <s v="IP MAGNA "/>
    <s v="ACEPTADO"/>
    <s v="PARANÁ"/>
    <x v="1"/>
    <m/>
  </r>
  <r>
    <x v="85"/>
    <s v="RIOS GRGORIA "/>
    <n v="72"/>
    <n v="6165959"/>
    <s v="GARCIA VITOR"/>
    <s v="GONARTROSIS"/>
    <s v="RTR ANATOM. MODULAR"/>
    <s v="VILLALBA"/>
    <s v="ACEPTADO"/>
    <s v="PARANÁ"/>
    <x v="1"/>
    <m/>
  </r>
  <r>
    <x v="86"/>
    <s v="GIMENEZ CLAUDIO"/>
    <n v="47"/>
    <n v="25307165"/>
    <s v="SAPETTI"/>
    <m/>
    <s v="CLAVO ENDM.PARA TIBIA"/>
    <m/>
    <s v="ACEPTADO"/>
    <s v="PARANÁ"/>
    <x v="0"/>
    <m/>
  </r>
  <r>
    <x v="86"/>
    <s v="MANETTI MIGUEL ANGEL"/>
    <n v="69"/>
    <n v="11200300"/>
    <s v="SAPETTI"/>
    <s v="FALLA OSTEOS "/>
    <s v="PTR PRIMARIO"/>
    <s v="IP MAGNA "/>
    <s v="ACEPTADO"/>
    <s v="PARANÁ"/>
    <x v="1"/>
    <m/>
  </r>
  <r>
    <x v="87"/>
    <s v="TOCHI ANDRES"/>
    <n v="73"/>
    <n v="8078645"/>
    <s v="SAPETTI"/>
    <s v="ARTROSIS"/>
    <s v="PTR HIBRIDA"/>
    <s v="VILLALBA"/>
    <s v="ACEPTADO"/>
    <s v="PARANÁ"/>
    <x v="1"/>
    <m/>
  </r>
  <r>
    <x v="87"/>
    <s v="DEMARTIN ANIBAL "/>
    <n v="44"/>
    <n v="27157797"/>
    <s v="STOPELLO"/>
    <s v="ARTROSIS"/>
    <s v="PTC NO CEMENT"/>
    <m/>
    <s v="ACEPTADO"/>
    <s v="PARANÁ"/>
    <x v="0"/>
    <m/>
  </r>
  <r>
    <x v="87"/>
    <s v="GOMEZ BLANCA "/>
    <n v="47"/>
    <n v="24325893"/>
    <s v="STOPELLO"/>
    <s v="ARTROSIS"/>
    <s v="PTR ANATOMICA "/>
    <m/>
    <s v="ACEPTADO"/>
    <s v="PARANÁ"/>
    <x v="0"/>
    <m/>
  </r>
  <r>
    <x v="88"/>
    <s v="DAVOLI MARIA "/>
    <n v="64"/>
    <n v="13353133"/>
    <s v="COLLOMB"/>
    <s v="FX CADERA"/>
    <s v="CLAVO GAMMA"/>
    <m/>
    <s v="OPERADO"/>
    <s v="PARANÁ"/>
    <x v="0"/>
    <m/>
  </r>
  <r>
    <x v="89"/>
    <s v="VILLAGRA CAMILA"/>
    <n v="18"/>
    <n v="46466689"/>
    <s v="COLLOMB"/>
    <s v="FX TIBIA"/>
    <s v="CLAVO ENDOM. ACERROJ"/>
    <m/>
    <s v="ACEPTADO"/>
    <s v="PARANÁ"/>
    <x v="0"/>
    <m/>
  </r>
  <r>
    <x v="89"/>
    <s v="IBARRA CARLOS "/>
    <n v="22"/>
    <n v="49019829"/>
    <s v="COLLOMB"/>
    <s v="FX TIBIA"/>
    <s v="CLACO ENDOM. ACERROJ"/>
    <m/>
    <s v="ACEPTADO"/>
    <s v="PARANÁ"/>
    <x v="0"/>
    <m/>
  </r>
  <r>
    <x v="89"/>
    <s v="GODOY BLANCA "/>
    <n v="74"/>
    <n v="6077428"/>
    <s v="URANGA "/>
    <s v="ESCOLIOSIS"/>
    <s v="SIS.FIJ.LUMBO-SACRO"/>
    <s v="VILLALBA"/>
    <s v="ACEPTADO"/>
    <s v="PARANÁ"/>
    <x v="1"/>
    <m/>
  </r>
  <r>
    <x v="89"/>
    <s v="RODRIGUEZ MARIA ESTELA "/>
    <n v="68"/>
    <n v="11584569"/>
    <s v="SUKSDORF"/>
    <s v="OMALGIA "/>
    <s v="ARPONES"/>
    <s v="VILLALBA"/>
    <s v="ACEPTADO"/>
    <s v="PARANÁ"/>
    <x v="1"/>
    <m/>
  </r>
  <r>
    <x v="89"/>
    <s v="ALVAREZ JESICA "/>
    <n v="25"/>
    <n v="40774950"/>
    <s v="CESAR MEYNET"/>
    <s v="LCA "/>
    <s v="TORNILL/BOTON "/>
    <m/>
    <s v="INICIADO"/>
    <s v="SANTA ELENA "/>
    <x v="0"/>
    <m/>
  </r>
  <r>
    <x v="90"/>
    <s v="PEREYRA RAMON "/>
    <n v="60"/>
    <n v="16531140"/>
    <s v="VENTURI"/>
    <s v="L MANG. ROT"/>
    <s v="ARPONES"/>
    <m/>
    <s v="ACEPTADO"/>
    <s v="PARANÁ"/>
    <x v="0"/>
    <m/>
  </r>
  <r>
    <x v="90"/>
    <s v="VELAZQUEZ SUSANA "/>
    <n v="24"/>
    <m/>
    <s v="COLLOMB"/>
    <s v="FX HUMERO"/>
    <s v="PLACA PHILOS "/>
    <m/>
    <s v="ACEPTADO"/>
    <s v="PARANÁ"/>
    <x v="0"/>
    <m/>
  </r>
  <r>
    <x v="90"/>
    <s v="GRANDOLI MICAELA"/>
    <n v="74"/>
    <n v="5710745"/>
    <s v="SAPETTI"/>
    <s v="HALLUX VALGO"/>
    <s v="PLACA VOLAR"/>
    <s v="VILLALBA "/>
    <s v="ACEPTADO"/>
    <s v="PARANÁ"/>
    <x v="1"/>
    <m/>
  </r>
  <r>
    <x v="91"/>
    <s v="FONSECA AMPARO "/>
    <n v="24"/>
    <n v="41254200"/>
    <s v="HERMIDA "/>
    <s v="LCA "/>
    <s v="TORNILL/BOTON "/>
    <m/>
    <s v="INICIADO"/>
    <s v="PARANÁ"/>
    <x v="0"/>
    <m/>
  </r>
  <r>
    <x v="91"/>
    <s v="MANA ROQUE "/>
    <n v="27"/>
    <n v="39580025"/>
    <s v="HERMIDA "/>
    <s v="LCA "/>
    <s v="TORNILL/BOTON "/>
    <m/>
    <s v="INICIADO"/>
    <s v="VICTORIA"/>
    <x v="0"/>
    <m/>
  </r>
  <r>
    <x v="91"/>
    <s v="ALEGRE LEONARDO "/>
    <n v="27"/>
    <n v="39836671"/>
    <s v="HERMIDA "/>
    <s v="LCA "/>
    <s v="TORNILL/BOTON "/>
    <m/>
    <s v="INICIADO"/>
    <s v="PARANÁ"/>
    <x v="0"/>
    <m/>
  </r>
  <r>
    <x v="91"/>
    <s v="GARCIA MIGUEL "/>
    <n v="68"/>
    <n v="10069610"/>
    <s v="THOMPSOM"/>
    <s v="L MANG. ROT"/>
    <s v="ARPONES"/>
    <s v="VILLALBA "/>
    <s v="ACEPTADO"/>
    <s v="PARANÁ"/>
    <x v="1"/>
    <m/>
  </r>
  <r>
    <x v="91"/>
    <s v="BORGEAT LEONEL "/>
    <n v="31"/>
    <n v="36732667"/>
    <s v="UCEDO"/>
    <s v="FX MUÑECA "/>
    <s v="PLACA VOLAR"/>
    <m/>
    <s v="ACEPTADO"/>
    <s v="PARANÁ"/>
    <x v="0"/>
    <m/>
  </r>
  <r>
    <x v="92"/>
    <s v="PEREYRA MARTA "/>
    <n v="48"/>
    <n v="24537901"/>
    <s v="YACOMO"/>
    <s v="FX TIBIAL "/>
    <s v="GUIATIBIAL/BOTON "/>
    <m/>
    <s v="ACEPTADO"/>
    <s v="SAN SALVADOR "/>
    <x v="0"/>
    <m/>
  </r>
  <r>
    <x v="92"/>
    <s v="REDONI  LUIS "/>
    <n v="65"/>
    <n v="11868096"/>
    <s v="STOPELLO"/>
    <s v="GONARTROSIS"/>
    <s v="PTR CEMENTADA "/>
    <m/>
    <s v="ACEPTADO"/>
    <s v="PARANÁ"/>
    <x v="0"/>
    <m/>
  </r>
  <r>
    <x v="92"/>
    <s v="ALEGRE MARIA "/>
    <n v="48"/>
    <n v="24050669"/>
    <s v="STOPELLO"/>
    <s v="GONARTROSIS"/>
    <s v="PTR CEMENTADA "/>
    <m/>
    <s v="ACEPTADO"/>
    <s v="PARANÁ"/>
    <x v="0"/>
    <m/>
  </r>
  <r>
    <x v="93"/>
    <s v="GRANDOLI PATRICIA "/>
    <n v="40"/>
    <n v="30007372"/>
    <s v="URANGA "/>
    <s v="CANAL ESTRECHO"/>
    <s v="BARRAS/TORN/CAGE "/>
    <m/>
    <s v="ACEPTADO"/>
    <s v="P. BRUGO"/>
    <x v="0"/>
    <n v="154544043"/>
  </r>
  <r>
    <x v="93"/>
    <s v="GRANDOLI PATRICIA "/>
    <n v="40"/>
    <n v="30007372"/>
    <s v="URANGA "/>
    <s v="CANAL ESTRECHO"/>
    <s v="SUST OSEO"/>
    <m/>
    <s v="INICIADO"/>
    <s v="P. BRUGO"/>
    <x v="0"/>
    <n v="154544043"/>
  </r>
  <r>
    <x v="94"/>
    <s v="ROMERO MARIA "/>
    <n v="62"/>
    <n v="14160671"/>
    <s v="UCEDO"/>
    <s v="PSEUDOARTROSIS "/>
    <s v="TORNILLOS MELEOLAR"/>
    <s v="VILLALBA "/>
    <s v="ACEPTADO"/>
    <s v="PARANÁ"/>
    <x v="1"/>
    <m/>
  </r>
  <r>
    <x v="94"/>
    <s v="SCHMIDT RENATA "/>
    <n v="91"/>
    <n v="2954440"/>
    <s v="RESIDENTES "/>
    <s v="FX CADERA "/>
    <s v="PTC CEMEN/COTILO"/>
    <s v="VILLALBA"/>
    <s v="ACEPTADO"/>
    <s v="HERNANDARIAS "/>
    <x v="1"/>
    <m/>
  </r>
  <r>
    <x v="95"/>
    <s v="PEREZ BARTOLA "/>
    <n v="99"/>
    <n v="2361222"/>
    <s v="THOMPSOM"/>
    <s v="FX CADERA"/>
    <s v="CLAVO GAMMA"/>
    <s v="VILLALBA "/>
    <s v="ACEPTADO"/>
    <s v="PARANÁ"/>
    <x v="1"/>
    <m/>
  </r>
  <r>
    <x v="95"/>
    <s v="VILLAGRA VIVIANA "/>
    <n v="54"/>
    <n v="20552852"/>
    <s v="UCEDO"/>
    <s v="ARTROSIS"/>
    <s v="TORNL. CANUL"/>
    <m/>
    <s v="ACEPTADO"/>
    <s v="PARANÁ"/>
    <x v="0"/>
    <m/>
  </r>
  <r>
    <x v="96"/>
    <s v="GOMEZ FACUNDO"/>
    <n v="26"/>
    <n v="39685713"/>
    <s v="STOPELLO"/>
    <s v="LCA "/>
    <s v="TORNILL/BOTON "/>
    <m/>
    <s v="ACEPTADO"/>
    <s v="VILLAGUAY"/>
    <x v="0"/>
    <m/>
  </r>
  <r>
    <x v="96"/>
    <s v="FRIZLER GRACIELA "/>
    <n v="65"/>
    <n v="12272970"/>
    <s v="STOPELLO"/>
    <s v="GONARTROSIS"/>
    <s v="PTR ANATOMICA "/>
    <s v="IP MAGNA "/>
    <s v="ACEPTADO"/>
    <s v="HERNANDARIAS "/>
    <x v="1"/>
    <n v="3438607743"/>
  </r>
  <r>
    <x v="96"/>
    <s v="MAYORAZ SARA"/>
    <n v="81"/>
    <n v="4460030"/>
    <s v="COLLOMB"/>
    <s v="FX CADERA"/>
    <s v="CLAVO GAMMA"/>
    <s v="VILLALBA "/>
    <s v="ACEPTADO"/>
    <s v="PARANÁ"/>
    <x v="1"/>
    <m/>
  </r>
  <r>
    <x v="97"/>
    <s v="BARRETO CARLOS "/>
    <n v="34"/>
    <n v="33930782"/>
    <s v="PELEGRINI"/>
    <s v="LCA "/>
    <s v="TORNILL/BOTON "/>
    <m/>
    <s v="INICIADO"/>
    <s v="VILLAGUAY"/>
    <x v="0"/>
    <n v="3455406132"/>
  </r>
  <r>
    <x v="97"/>
    <s v="FAELO IVAN "/>
    <n v="23"/>
    <n v="42470931"/>
    <s v="PELEGRINI"/>
    <s v="LCA "/>
    <s v="TORNILL/BOTON "/>
    <m/>
    <s v="INICIADO"/>
    <s v="GUALEGUAYCHU"/>
    <x v="0"/>
    <n v="3444506352"/>
  </r>
  <r>
    <x v="97"/>
    <s v="BURGGARDT RICARDO"/>
    <n v="53"/>
    <n v="21538663"/>
    <s v="CATRIEL GODOY"/>
    <s v="RUP MANG ROT "/>
    <s v="ARPONES "/>
    <m/>
    <s v="ACEPTADO"/>
    <s v="BOVRIL"/>
    <x v="0"/>
    <m/>
  </r>
  <r>
    <x v="98"/>
    <s v="YARCE  EDUARDO"/>
    <n v="74"/>
    <n v="4992397"/>
    <s v="THOMPSOM"/>
    <s v="FX CADERA"/>
    <s v="CLAVO GAMMA"/>
    <s v="VILLALBA "/>
    <s v="ACEPTADO"/>
    <s v="PARANÁ"/>
    <x v="1"/>
    <m/>
  </r>
  <r>
    <x v="99"/>
    <s v="ALTAMIRANO "/>
    <n v="21"/>
    <m/>
    <s v="HERMIDA "/>
    <s v="LCA "/>
    <s v="SISTEME DE SUTURA "/>
    <m/>
    <s v="INICIADO"/>
    <s v="VILLAGUAY "/>
    <x v="0"/>
    <n v="3455410686"/>
  </r>
  <r>
    <x v="100"/>
    <s v=" CARRERA LILIANA "/>
    <m/>
    <m/>
    <s v="GARCIA VITOR"/>
    <s v="COXOARTROS"/>
    <s v="PTC NO CEMENT"/>
    <m/>
    <s v="ACEPTADO"/>
    <m/>
    <x v="0"/>
    <m/>
  </r>
  <r>
    <x v="100"/>
    <s v="FANGI SUSANA "/>
    <m/>
    <m/>
    <s v="GARCIA VITOR"/>
    <s v="GONARTROSIS"/>
    <s v="PTR ANATOMICA "/>
    <s v="VILLALBA "/>
    <s v="ACEPTADO"/>
    <m/>
    <x v="1"/>
    <m/>
  </r>
  <r>
    <x v="101"/>
    <s v="RENE NILDA"/>
    <n v="81"/>
    <n v="4543092"/>
    <s v="STOPELLO"/>
    <m/>
    <m/>
    <m/>
    <s v="ACEPTADO"/>
    <m/>
    <x v="0"/>
    <m/>
  </r>
  <r>
    <x v="102"/>
    <s v="VILLAGRA NOEMI"/>
    <n v="65"/>
    <n v="13668236"/>
    <s v="CATRIEL GODOY"/>
    <s v="GENU VARO"/>
    <s v="PTR ANATOMICA "/>
    <s v="IP MAGNA"/>
    <s v="ACEPTADO"/>
    <s v="PARANÁ"/>
    <x v="1"/>
    <m/>
  </r>
  <r>
    <x v="102"/>
    <s v="MULLER CARLOS"/>
    <n v="82"/>
    <n v="5939267"/>
    <s v="GARCIA VITOR"/>
    <s v="GONARTROSIS "/>
    <s v="PTR ANATOMICA "/>
    <s v="VILLALBA "/>
    <s v="ACEPTADO"/>
    <s v="CERRITO"/>
    <x v="1"/>
    <m/>
  </r>
  <r>
    <x v="102"/>
    <s v="ROSKOPF NORMA "/>
    <n v="61"/>
    <n v="14634834"/>
    <s v="COLLOMB"/>
    <s v="FX MUÑECA "/>
    <s v="P. DOBLE H. DISTAL"/>
    <s v="VILLALBA "/>
    <s v="ACEPTADO"/>
    <s v="PARANÁ"/>
    <x v="1"/>
    <m/>
  </r>
  <r>
    <x v="102"/>
    <s v="CASTRO ANTONIA"/>
    <n v="83"/>
    <n v="3923835"/>
    <s v="COLLOMB"/>
    <s v="FX CADERA "/>
    <s v="CLAVO GAMMA"/>
    <s v="VILLALBA "/>
    <s v="ACEPTADO"/>
    <s v="PARANÁ"/>
    <x v="1"/>
    <m/>
  </r>
  <r>
    <x v="102"/>
    <s v="MICHELOUD MARIA J"/>
    <n v="80"/>
    <n v="4431872"/>
    <s v="GARCIA VITOR"/>
    <s v="GONARTROSIS "/>
    <s v="PTR ANATOMICA "/>
    <s v="VILLALBA "/>
    <s v="ACEPTADO"/>
    <s v="PARANÁ"/>
    <x v="1"/>
    <m/>
  </r>
  <r>
    <x v="103"/>
    <s v="ANCILLOTTI STELLA "/>
    <n v="77"/>
    <n v="5271580"/>
    <s v="COLLOMB"/>
    <s v="FX CADERA "/>
    <s v="PTC CEMENT/ COTILO D "/>
    <s v="VILLALBA "/>
    <s v="ACEPTADO"/>
    <s v="PARANÁ"/>
    <x v="1"/>
    <m/>
  </r>
  <r>
    <x v="103"/>
    <s v="VEGA SONIA "/>
    <n v="84"/>
    <n v="2971587"/>
    <s v="COLLOMB"/>
    <s v="FX CADERA "/>
    <s v="C. GAMMA /DHS "/>
    <s v="VILLALBA "/>
    <s v="ACEPTADO"/>
    <s v="PARANÁ"/>
    <x v="1"/>
    <m/>
  </r>
  <r>
    <x v="103"/>
    <s v="ROMERO EDUARDO"/>
    <n v="59"/>
    <n v="17044612"/>
    <s v="HERMIDA "/>
    <s v="COXARTROSIS "/>
    <s v="PTC HIBRIDA "/>
    <m/>
    <s v="INICIADO "/>
    <s v="PARANÁ"/>
    <x v="0"/>
    <m/>
  </r>
  <r>
    <x v="103"/>
    <s v="GONZALEZ PALOMA "/>
    <n v="18"/>
    <n v="46605418"/>
    <m/>
    <s v="LCA"/>
    <s v="TORNILLOS INTERF "/>
    <m/>
    <s v="INICIADO "/>
    <s v="PARANÁ"/>
    <x v="0"/>
    <m/>
  </r>
  <r>
    <x v="103"/>
    <s v="GOZELA ALVERTO"/>
    <n v="66"/>
    <n v="12797440"/>
    <s v="UCEDO"/>
    <s v="FX HUMERO "/>
    <s v="C. ENDOMEDULAR"/>
    <s v="VILLALBA "/>
    <s v="ACEPTADO"/>
    <s v="PARANÁ"/>
    <x v="1"/>
    <m/>
  </r>
  <r>
    <x v="103"/>
    <s v="CISNEROS FACUNDO "/>
    <n v="34"/>
    <n v="38649027"/>
    <s v="CATRIEL GODOY"/>
    <s v="NOA "/>
    <s v="PTC CERAMICA "/>
    <m/>
    <s v="ACEPTADO"/>
    <s v="NOGOYA "/>
    <x v="0"/>
    <m/>
  </r>
  <r>
    <x v="104"/>
    <s v="CASERES ALEJANDRA "/>
    <n v="56"/>
    <n v="18459353"/>
    <s v="STOPELLO"/>
    <s v="AFLOJ. PROTES"/>
    <s v="P TC  CEMENTADA "/>
    <m/>
    <s v="ACEPTADO"/>
    <s v="PARANÁ"/>
    <x v="0"/>
    <m/>
  </r>
  <r>
    <x v="104"/>
    <s v="AGUIRRE ROBERTO"/>
    <n v="36"/>
    <n v="32619282"/>
    <s v="URANGA "/>
    <s v="ESCOLIOSIS "/>
    <s v="SIT.FIJ COLUMNA "/>
    <s v="IP MAGNA"/>
    <s v="ACEPTADO"/>
    <s v="PARANÁ"/>
    <x v="1"/>
    <m/>
  </r>
  <r>
    <x v="104"/>
    <s v="DUARTE GLADYS "/>
    <n v="90"/>
    <n v="3198533"/>
    <s v="UCEDO"/>
    <s v="FX CADERA "/>
    <s v="CLAV/GAMMA/CLAV DHS"/>
    <s v="VILLALBA "/>
    <s v="ACEPTADO"/>
    <s v="PARANÁ"/>
    <x v="1"/>
    <m/>
  </r>
  <r>
    <x v="105"/>
    <s v="ZANABRIA MARIA LINA"/>
    <m/>
    <n v="10229125"/>
    <s v="STOPELLO"/>
    <s v="COXARTROSIS "/>
    <s v="CLAVO GAMMA"/>
    <s v="VILLALBA "/>
    <s v="ACEPTADO"/>
    <s v="PARANÁ"/>
    <x v="1"/>
    <m/>
  </r>
  <r>
    <x v="106"/>
    <s v="CARDOZO LUCAS"/>
    <n v="26"/>
    <n v="40853486"/>
    <s v="GARCIA VITOR"/>
    <s v="FX TOBILLO"/>
    <s v="PLACA 1/3 "/>
    <m/>
    <s v="ACEPTADO"/>
    <s v="CRESPO"/>
    <x v="0"/>
    <m/>
  </r>
  <r>
    <x v="106"/>
    <s v="PALACIOS ELBA "/>
    <n v="69"/>
    <n v="11034659"/>
    <s v="GARCIA VITOR"/>
    <s v="ARTRO. RODILLA "/>
    <s v="PTR ANATOMICA "/>
    <s v="IP MAGNA"/>
    <s v="ACEPTADO"/>
    <s v="EL PALENQUE "/>
    <x v="1"/>
    <m/>
  </r>
  <r>
    <x v="106"/>
    <s v="PALACIOS ELBA "/>
    <n v="69"/>
    <n v="11034659"/>
    <s v="GARCIA VITOR"/>
    <s v="ARTRO CADERA "/>
    <s v="PTC HIBRIDA "/>
    <s v="IP MAGNA"/>
    <s v="ACEPTADO"/>
    <s v="EL PALENQUE "/>
    <x v="1"/>
    <m/>
  </r>
  <r>
    <x v="107"/>
    <s v="PODVERSICH BRIAN"/>
    <n v="23"/>
    <n v="42581168"/>
    <s v="GARCIA VITOR"/>
    <s v="LCA"/>
    <s v="TORNILLOS INTERF "/>
    <s v="VILLALBA "/>
    <s v="ACEPTADO"/>
    <s v="PARANÁ"/>
    <x v="1"/>
    <m/>
  </r>
  <r>
    <x v="107"/>
    <s v="SIRTORI SILVIA "/>
    <n v="76"/>
    <n v="5486448"/>
    <s v="COLLOMB"/>
    <s v="FX HUMERO "/>
    <s v="P. PHILOS /CLAVO"/>
    <s v="VILLALBA "/>
    <s v="ACEPTADO"/>
    <s v="PARANÁ"/>
    <x v="1"/>
    <m/>
  </r>
  <r>
    <x v="107"/>
    <s v="ALLEGRINI HAYDEE"/>
    <n v="69"/>
    <n v="11029794"/>
    <s v="VENTURI"/>
    <s v="FX HUMERO "/>
    <s v="P. PHILOS /CLAVO"/>
    <s v="VILLALBA "/>
    <s v="ACEPTADO"/>
    <s v="PARANÁ"/>
    <x v="1"/>
    <m/>
  </r>
  <r>
    <x v="108"/>
    <s v="DIAZ MARCELO"/>
    <n v="48"/>
    <n v="24868599"/>
    <s v="YACOMO"/>
    <s v="GONARTROSIS "/>
    <s v="PTR ANATOMICA "/>
    <m/>
    <s v="ACEPTADO"/>
    <s v="PARANÁ"/>
    <x v="0"/>
    <m/>
  </r>
  <r>
    <x v="109"/>
    <s v="MOREIRA HORACIO"/>
    <n v="69"/>
    <n v="10824527"/>
    <s v="URANGA "/>
    <s v="ESCOLIOSIS "/>
    <s v="BARRAS/TORN/PLIF"/>
    <s v="IP MAGNA"/>
    <s v="VIA ESCEPCION "/>
    <s v="PARANÁ"/>
    <x v="1"/>
    <m/>
  </r>
  <r>
    <x v="109"/>
    <s v="IANCOVICH OSCAR "/>
    <n v="61"/>
    <n v="16045773"/>
    <s v="URANGA "/>
    <s v="ESCOLIOSIS "/>
    <s v="BARRAS/TORN/PLIF"/>
    <s v="INICIADO"/>
    <s v="ACEPTADO"/>
    <s v="PARANÁ"/>
    <x v="0"/>
    <m/>
  </r>
  <r>
    <x v="109"/>
    <s v="CANTERO OSCAR"/>
    <n v="36"/>
    <n v="34646217"/>
    <s v="URANGA "/>
    <s v="ESCOLIOSIS "/>
    <s v="BARRAS/TORN/PLIF"/>
    <s v="INICIADO"/>
    <s v="ACEPTADO"/>
    <s v="CONCORDIA "/>
    <x v="0"/>
    <m/>
  </r>
  <r>
    <x v="109"/>
    <s v="ZAPATA NELIDA "/>
    <n v="65"/>
    <n v="12064329"/>
    <s v="URANGA "/>
    <s v="ESCOLIOSIS "/>
    <s v="BARRAS/TORN/PLIF"/>
    <s v="IP MAGNA"/>
    <s v="RECHAZADO"/>
    <s v="PARANÁ"/>
    <x v="1"/>
    <m/>
  </r>
  <r>
    <x v="109"/>
    <s v="ALBORNOZ SIMON "/>
    <n v="69"/>
    <n v="11107118"/>
    <s v="STOPELLO"/>
    <s v="AFLOJ. PROTES"/>
    <s v="ESPACIADOR "/>
    <s v="VILLALBA "/>
    <s v="ACEPTADO"/>
    <s v="PARANÁ"/>
    <x v="1"/>
    <m/>
  </r>
  <r>
    <x v="110"/>
    <s v="LOPEZ MIGUEL"/>
    <n v="72"/>
    <n v="8492517"/>
    <s v="COLLOMB"/>
    <s v="RUP.TENDON "/>
    <s v="ARPONES "/>
    <s v="VILLALBA "/>
    <s v="ACEPTADO"/>
    <s v="PARANÁ"/>
    <x v="1"/>
    <m/>
  </r>
  <r>
    <x v="110"/>
    <s v="CAMPOS MARGARITA"/>
    <n v="70"/>
    <n v="10875842"/>
    <s v="COLLOMB"/>
    <s v="FX HUMERO "/>
    <s v="P.PHILOS "/>
    <s v="VILLALBA "/>
    <s v="ACEPTADO"/>
    <s v="PARANÁ"/>
    <x v="1"/>
    <m/>
  </r>
  <r>
    <x v="111"/>
    <s v="WILD RAUL HUGO"/>
    <n v="69"/>
    <n v="11114877"/>
    <s v="CESAR MEYNET"/>
    <s v="GONARTROSIS "/>
    <s v="PTR ANATOMICA "/>
    <s v="IP MAGNA"/>
    <s v="ACEPTADO"/>
    <s v="HERNANDARIAS "/>
    <x v="1"/>
    <m/>
  </r>
  <r>
    <x v="111"/>
    <s v="ERNST ANA MARCIANA"/>
    <n v="73"/>
    <n v="5634438"/>
    <s v="CESAR MEYNET"/>
    <s v="GONARTROSIS "/>
    <s v="PTR ANATOMICA "/>
    <s v="VILLALBA "/>
    <s v="ACEPTADO"/>
    <s v="PARANÁ"/>
    <x v="1"/>
    <m/>
  </r>
  <r>
    <x v="111"/>
    <s v="ARREDONDO GISELA "/>
    <n v="38"/>
    <n v="31862358"/>
    <s v="CATRIEL GODOY"/>
    <m/>
    <s v="ARPONES "/>
    <m/>
    <s v="ACEPTADO"/>
    <s v="PARANÁ"/>
    <x v="0"/>
    <m/>
  </r>
  <r>
    <x v="112"/>
    <s v="RIQUELME RODRIGO "/>
    <n v="22"/>
    <n v="43342500"/>
    <s v="PELEGRINI"/>
    <s v="LCA"/>
    <s v="TORNILLOS INTERF BOTON "/>
    <m/>
    <s v="INICIADO "/>
    <s v="FEDERAL"/>
    <x v="0"/>
    <m/>
  </r>
  <r>
    <x v="112"/>
    <s v="CABO PEREZ JOSE "/>
    <n v="23"/>
    <n v="42819993"/>
    <s v="PELEGRINI"/>
    <s v="LCA"/>
    <s v="TORNILLOS INTERF BOTON "/>
    <m/>
    <s v="INICIADO "/>
    <s v="C DEL URUGUAY"/>
    <x v="0"/>
    <m/>
  </r>
  <r>
    <x v="112"/>
    <s v="MUJICA MARTA "/>
    <n v="85"/>
    <n v="2456531"/>
    <s v="UCEDO"/>
    <s v="REV OSTEOS"/>
    <s v="C. PLAC DHS "/>
    <s v="VILLALBA "/>
    <s v="ACEPTADO"/>
    <s v="PARANÁ"/>
    <x v="1"/>
    <m/>
  </r>
  <r>
    <x v="113"/>
    <s v="CARRUEGO ISABEL"/>
    <n v="72"/>
    <n v="6368366"/>
    <s v="COLLOMB"/>
    <s v="FX CADERA "/>
    <s v="CLAVO GAMMA"/>
    <s v="VILLALBA "/>
    <s v="ACEPTADO"/>
    <s v="PARANÁ"/>
    <x v="1"/>
    <m/>
  </r>
  <r>
    <x v="113"/>
    <s v="CARRUEGO ISABEL"/>
    <n v="72"/>
    <n v="6368366"/>
    <s v="COLLOMB"/>
    <s v="FX MUÑECA "/>
    <s v="PLACA VOLAR"/>
    <s v="VILLALBA "/>
    <s v="ACEPTADO"/>
    <s v="PARANÁ"/>
    <x v="1"/>
    <m/>
  </r>
  <r>
    <x v="113"/>
    <s v="EICHHORN NORMA "/>
    <n v="78"/>
    <n v="5598530"/>
    <s v="COLLOMB"/>
    <s v="FX CADERA "/>
    <s v="CLAVO DHS"/>
    <s v="VILLALBA "/>
    <s v="ACEPTADO"/>
    <s v="PARANÁ"/>
    <x v="1"/>
    <m/>
  </r>
  <r>
    <x v="114"/>
    <s v="MORKEL LUISA"/>
    <n v="87"/>
    <n v="2812390"/>
    <s v="COLLOMB"/>
    <s v="FX CADERA "/>
    <s v="CLAVO GAMMA"/>
    <s v="VILLALBA"/>
    <s v="ACEPTADO"/>
    <s v="PARANÁ"/>
    <x v="1"/>
    <m/>
  </r>
  <r>
    <x v="115"/>
    <s v="FERNANDEZ RAMONA "/>
    <n v="81"/>
    <n v="4266041"/>
    <s v="GARCIA VITOR"/>
    <s v="AFLOJ. PROTES"/>
    <s v="PTC CEMENT/ COTILO D "/>
    <s v="VILLALBA"/>
    <s v="ACEPTADO"/>
    <s v="LA PAZ"/>
    <x v="1"/>
    <m/>
  </r>
  <r>
    <x v="115"/>
    <s v="SAAVEDRA RUBEN "/>
    <n v="23"/>
    <n v="42406687"/>
    <s v="YACOMO"/>
    <s v="LCA"/>
    <s v="TORNILLOS INTERF BOTON "/>
    <m/>
    <s v="INICIADO "/>
    <s v="FEDERAL"/>
    <x v="0"/>
    <m/>
  </r>
  <r>
    <x v="115"/>
    <s v="OVIEDO JUAN "/>
    <n v="52"/>
    <n v="26634556"/>
    <s v="CATRIEL GODOY"/>
    <s v="NOA "/>
    <s v="PTC NO CEMENT"/>
    <m/>
    <s v="INICIADO "/>
    <s v="LUCAS GONZALEZ"/>
    <x v="0"/>
    <m/>
  </r>
  <r>
    <x v="116"/>
    <s v="GUZMAN GLORIA "/>
    <n v="61"/>
    <n v="14367289"/>
    <s v="UCEDO"/>
    <s v="HALLUX VALGO"/>
    <s v="TOR.TIPO BAROUK"/>
    <s v="VILLALBA "/>
    <s v="ACEPTADO"/>
    <s v="PARANÁ"/>
    <x v="1"/>
    <m/>
  </r>
  <r>
    <x v="116"/>
    <s v="PATRIARCA STELLA MARIS "/>
    <n v="66"/>
    <n v="13353373"/>
    <s v="UCEDO"/>
    <s v="HALLUX VALGO"/>
    <s v="TOR.TIPO BAROUK"/>
    <s v="VILLALBA "/>
    <s v="ACEPTADO"/>
    <s v="PARANÁ"/>
    <x v="1"/>
    <m/>
  </r>
  <r>
    <x v="117"/>
    <s v="CORREA PATRICIA "/>
    <n v="57"/>
    <n v="18006137"/>
    <s v="RESIDENTES"/>
    <s v="FX MUÑECA "/>
    <s v="PLACA VOLAR"/>
    <s v="X BANCO"/>
    <s v="INICIADO"/>
    <s v="DIAMANTE "/>
    <x v="0"/>
    <m/>
  </r>
  <r>
    <x v="118"/>
    <s v="GODOY HECTOR "/>
    <n v="77"/>
    <n v="5450491"/>
    <s v="GARCIA VITOR"/>
    <s v="GENU VALGO"/>
    <s v="PTR ANATOMICA "/>
    <s v="VILLALBA "/>
    <s v="ACEPTADO"/>
    <s v="PARANÁ"/>
    <x v="1"/>
    <m/>
  </r>
  <r>
    <x v="118"/>
    <s v="SILVA CARMELO"/>
    <n v="82"/>
    <n v="5939610"/>
    <s v="GARCIA VITOR"/>
    <s v="GONARTROSIS"/>
    <s v="PTR ANATOMICA "/>
    <s v="VILLALBA "/>
    <s v="SUSPENDIDO"/>
    <s v="PARANÁ"/>
    <x v="1"/>
    <m/>
  </r>
  <r>
    <x v="118"/>
    <s v="WAGNER OLGA "/>
    <n v="75"/>
    <n v="5661603"/>
    <s v="GARCIA VITOR"/>
    <s v="AFLOJ ACEPTICO"/>
    <s v="PTR REVISION "/>
    <s v="VILLALBA "/>
    <s v="ACEPTADO"/>
    <s v="PARANÁ"/>
    <x v="1"/>
    <m/>
  </r>
  <r>
    <x v="119"/>
    <s v="BARROSO JOSEFA "/>
    <n v="94"/>
    <n v="8574139"/>
    <s v="COLLOMB"/>
    <s v="FX CADERA  "/>
    <s v="PPC THOMPSON "/>
    <s v="VILLALBA "/>
    <s v="ACEPTADO"/>
    <s v="PARANÁ"/>
    <x v="1"/>
    <m/>
  </r>
  <r>
    <x v="119"/>
    <s v="GONZALEZ  LILIANA "/>
    <n v="66"/>
    <n v="16075545"/>
    <s v="CATRIEL GODOY"/>
    <s v="RUPT MANG.ROT"/>
    <s v="ARPONES"/>
    <s v="VILLALBA"/>
    <s v="ACEPTADO"/>
    <s v="PARANÁ"/>
    <x v="1"/>
    <m/>
  </r>
  <r>
    <x v="119"/>
    <s v="FERNANDEZ RAMONA "/>
    <n v="81"/>
    <n v="4266041"/>
    <s v="GARCIA VITOR"/>
    <s v="FX CADERA"/>
    <s v="PTC CEMEN/COTILO"/>
    <s v="VILLALBA "/>
    <s v="ACEPTADO"/>
    <s v="PARANÁ"/>
    <x v="1"/>
    <m/>
  </r>
  <r>
    <x v="119"/>
    <s v="HAEDO  NELIDA "/>
    <m/>
    <m/>
    <s v="HERMIDA "/>
    <s v="AFLOJ PRT"/>
    <s v="PTC HIBRIDA "/>
    <s v="VILLALBA "/>
    <s v="ACEPTADO"/>
    <s v="PARANÁ"/>
    <x v="1"/>
    <m/>
  </r>
  <r>
    <x v="120"/>
    <s v="RION JUANA "/>
    <n v="69"/>
    <n v="11308842"/>
    <s v="COLLOMB"/>
    <s v="FX FEMUR"/>
    <s v="PLACA DISTAL/TORN/CLAVO"/>
    <s v="VILLALBA "/>
    <s v="ACEPTADO"/>
    <s v="PARANÁ"/>
    <x v="1"/>
    <m/>
  </r>
  <r>
    <x v="120"/>
    <s v="KESSLER ISABEL"/>
    <n v="80"/>
    <n v="3989813"/>
    <s v="COLLOMB"/>
    <s v="FX CADERA"/>
    <s v="PTC CEMEN/COTILO"/>
    <s v="VILLALBA "/>
    <s v="ACEPTADO"/>
    <s v="PARANÁ"/>
    <x v="1"/>
    <m/>
  </r>
  <r>
    <x v="121"/>
    <s v="LELL ANITA"/>
    <n v="71"/>
    <n v="10197701"/>
    <s v="COLLOMB"/>
    <s v="FX HUMERO"/>
    <s v="PLACA PHILOS"/>
    <s v="VILLALBA "/>
    <s v="ACEPTADO"/>
    <s v="PARANÁ"/>
    <x v="1"/>
    <m/>
  </r>
  <r>
    <x v="121"/>
    <s v="MARTINEZ FRANCO"/>
    <n v="22"/>
    <n v="43294568"/>
    <s v="GARCIA VITOR"/>
    <s v="LCA"/>
    <s v="TOR/BOTON CORT"/>
    <m/>
    <s v="INICIADO"/>
    <s v="DIAMANTE"/>
    <x v="0"/>
    <m/>
  </r>
  <r>
    <x v="121"/>
    <s v="ALVAREZ JOSE "/>
    <n v="47"/>
    <n v="25307299"/>
    <s v="STOPELLO"/>
    <s v="COXARTROSIS"/>
    <s v="PTC NO CEMENTADA"/>
    <m/>
    <s v="INICIADO"/>
    <s v="PARANÁ"/>
    <x v="0"/>
    <m/>
  </r>
  <r>
    <x v="121"/>
    <s v="CASCO MIRIAM"/>
    <n v="63"/>
    <n v="13834418"/>
    <s v="COLLOMB"/>
    <s v="GONARTROSIS"/>
    <s v="PTR ANATOMICA"/>
    <s v="IP MAGNA"/>
    <s v="ACEPTADO"/>
    <s v="PARANÁ"/>
    <x v="1"/>
    <m/>
  </r>
  <r>
    <x v="121"/>
    <s v="SLOBODZIAN JUAN "/>
    <n v="66"/>
    <n v="13631103"/>
    <s v="COLLOMB"/>
    <s v="FX TIB Y PERONE"/>
    <s v="PLAC T TUBO/CLAVO"/>
    <s v="VILLALBA "/>
    <s v="ACEPTADO"/>
    <s v="PARANÁ"/>
    <x v="1"/>
    <m/>
  </r>
  <r>
    <x v="121"/>
    <s v="GERSTNER VICTORIA"/>
    <n v="65"/>
    <n v="11793527"/>
    <s v="STOPELLO"/>
    <s v="COXARTROSIS"/>
    <s v="PTC NO CEMENTADA"/>
    <s v="VILLALBA "/>
    <s v="ACEPTADO"/>
    <s v="PARANÁ"/>
    <x v="1"/>
    <m/>
  </r>
  <r>
    <x v="121"/>
    <s v="SUAREZ JOSEFA "/>
    <n v="77"/>
    <n v="5271806"/>
    <s v="STOPELLO"/>
    <s v="GONARTROSIS"/>
    <s v="PTR ANATOMICA"/>
    <s v="VILLALBA "/>
    <s v="ACEPTADO"/>
    <s v="PARANÁ"/>
    <x v="1"/>
    <m/>
  </r>
  <r>
    <x v="121"/>
    <s v="LARROCHE JUAN"/>
    <n v="68"/>
    <n v="11495361"/>
    <s v="STOPELLO"/>
    <s v="COXARTROSIS"/>
    <s v="PTC CEMEN/COTILO"/>
    <s v="IP MAGNA"/>
    <s v="ACEPTADO"/>
    <s v="PARANÁ"/>
    <x v="1"/>
    <m/>
  </r>
  <r>
    <x v="121"/>
    <s v="FERNANDEZ  DAIANA "/>
    <n v="17"/>
    <n v="47522946"/>
    <s v="URANGA "/>
    <s v="ESCOLIOSIS "/>
    <s v="TOR/BARRAS/CLIF"/>
    <m/>
    <s v="INICIADO"/>
    <s v="LA PAZ"/>
    <x v="0"/>
    <m/>
  </r>
  <r>
    <x v="121"/>
    <s v="FERNANDEZ DAIANA "/>
    <n v="17"/>
    <n v="47522946"/>
    <s v="URANGA "/>
    <s v="ESCOLIOSIS "/>
    <m/>
    <m/>
    <s v="INICIADO"/>
    <s v="LA PAZ"/>
    <x v="0"/>
    <m/>
  </r>
  <r>
    <x v="121"/>
    <s v="SANCHEZ MICAELA "/>
    <n v="28"/>
    <n v="39030308"/>
    <m/>
    <s v="LCA"/>
    <s v="TORN/BOTON "/>
    <m/>
    <s v="INICIADO"/>
    <s v="PARANÁ"/>
    <x v="0"/>
    <m/>
  </r>
  <r>
    <x v="121"/>
    <s v="BRAVO FLORENCIA "/>
    <n v="25"/>
    <n v="41248441"/>
    <m/>
    <s v="LCA"/>
    <s v="TORN/BOTON "/>
    <m/>
    <s v="INICIADO"/>
    <s v="PARANÁ"/>
    <x v="0"/>
    <m/>
  </r>
  <r>
    <x v="121"/>
    <s v="DIEMENT JUDITH"/>
    <n v="60"/>
    <n v="16166331"/>
    <s v="UCEDO"/>
    <s v="NECROSIS CAD"/>
    <s v="PTC NO CEMENTADA"/>
    <m/>
    <s v="INICIADO"/>
    <s v="PARANÁ"/>
    <x v="0"/>
    <m/>
  </r>
  <r>
    <x v="122"/>
    <s v="LALLANA MARIA ROSA "/>
    <n v="60"/>
    <n v="16787083"/>
    <s v="UCEDO"/>
    <s v="HALLUX VALGO"/>
    <s v="TORN BAROUK"/>
    <m/>
    <s v="INICIADO"/>
    <s v="PARANÁ"/>
    <x v="0"/>
    <m/>
  </r>
  <r>
    <x v="123"/>
    <s v="OJEDA MARIA LUISA"/>
    <n v="60"/>
    <n v="160755445"/>
    <s v="GARCIA VITOR"/>
    <s v="GONARTROSIS"/>
    <s v="PTR ANATOMICA"/>
    <s v="VILLALBA "/>
    <s v="ACEPTADO"/>
    <s v="PARANÁ"/>
    <x v="1"/>
    <m/>
  </r>
  <r>
    <x v="124"/>
    <s v="CASTELLANO KEVIN "/>
    <n v="16"/>
    <n v="48163391"/>
    <s v="YACOMO"/>
    <s v="LCA"/>
    <s v="TRON/BOTON "/>
    <m/>
    <s v="INICIADO"/>
    <s v="LA PAZ"/>
    <x v="0"/>
    <m/>
  </r>
  <r>
    <x v="124"/>
    <s v="BENITEZ ANDRES"/>
    <n v="28"/>
    <n v="38572263"/>
    <s v="YACOMO"/>
    <s v="LCA"/>
    <s v="TRON/BOTON "/>
    <m/>
    <s v="INICIADO"/>
    <s v="LA PAZ"/>
    <x v="0"/>
    <m/>
  </r>
  <r>
    <x v="125"/>
    <s v="BENITEZ FRANCO"/>
    <n v="21"/>
    <n v="44074773"/>
    <s v="PELEGRINI"/>
    <s v="LCA"/>
    <s v="TRON/BOTON "/>
    <m/>
    <s v="ACEPTADO"/>
    <s v="CRESPO"/>
    <x v="0"/>
    <m/>
  </r>
  <r>
    <x v="126"/>
    <s v="TORTUL GRACIELA "/>
    <n v="68"/>
    <n v="11740043"/>
    <s v="COLLOMB"/>
    <s v="FX FEMUR"/>
    <s v="PLACA COND"/>
    <s v="VILLALBA"/>
    <s v="ACEPTADO"/>
    <s v="PARANÁ"/>
    <x v="1"/>
    <m/>
  </r>
  <r>
    <x v="126"/>
    <s v="PEREYRA ESTER "/>
    <n v="67"/>
    <n v="12591861"/>
    <m/>
    <s v="GONARTROSIS"/>
    <s v="RTR ANATOMICA "/>
    <s v="IP MAGNA"/>
    <s v="ACEPTADO"/>
    <s v="ALCARAZ"/>
    <x v="1"/>
    <m/>
  </r>
  <r>
    <x v="127"/>
    <s v="VALIENTE NELIDA "/>
    <n v="24"/>
    <n v="43482404"/>
    <s v="VENTURI"/>
    <s v=" "/>
    <s v="PLACA LCP"/>
    <m/>
    <s v="INICIADO "/>
    <s v="FEDERAL "/>
    <x v="0"/>
    <m/>
  </r>
  <r>
    <x v="127"/>
    <s v="ZAPATA NELIDA "/>
    <n v="66"/>
    <m/>
    <s v="URANGA "/>
    <s v="ESCOLISIS"/>
    <s v="BARRA/TORNI/PLIFF"/>
    <s v="IP MAGNA"/>
    <s v="ACEPTADO"/>
    <s v="LA PAZ"/>
    <x v="1"/>
    <m/>
  </r>
  <r>
    <x v="127"/>
    <s v="ORNETTI SUSANA "/>
    <n v="62"/>
    <n v="14604717"/>
    <s v="GARCIA VITOR"/>
    <s v="GONARTROSIS"/>
    <s v="RTR ANATOMICA "/>
    <s v="VILLALBA"/>
    <s v="ACEPTADO"/>
    <s v="PARANÁ"/>
    <x v="1"/>
    <m/>
  </r>
  <r>
    <x v="128"/>
    <s v="NIETO PATRICIA "/>
    <n v="50"/>
    <n v="22324787"/>
    <s v="SUKSDORF"/>
    <s v="NOA"/>
    <s v="PTC NO CEEMNET"/>
    <m/>
    <s v="INICIADO "/>
    <s v="PARANÁ"/>
    <x v="0"/>
    <m/>
  </r>
  <r>
    <x v="128"/>
    <s v="TENTOR JULIO "/>
    <n v="39"/>
    <n v="31091638"/>
    <s v="GARCIA VITOR"/>
    <s v="NECROSIS CAD D"/>
    <s v="PTC NO CEEMNET"/>
    <m/>
    <s v="INICIADO "/>
    <s v="LA PAZ"/>
    <x v="0"/>
    <m/>
  </r>
  <r>
    <x v="128"/>
    <s v="TENTOR JULIO "/>
    <n v="39"/>
    <n v="31091638"/>
    <s v="GARCIA VITOR"/>
    <s v="NECROSIS CAD I"/>
    <s v="PTC NO CEEMNET"/>
    <m/>
    <s v="INICIADO "/>
    <s v="LA PAZ"/>
    <x v="0"/>
    <m/>
  </r>
  <r>
    <x v="128"/>
    <s v="TREPPAN ELENA"/>
    <n v="72"/>
    <n v="10162581"/>
    <s v="JACOB"/>
    <s v="LUMBOCIATALGIA "/>
    <s v="BARRA/TORNI/PLIFF"/>
    <m/>
    <s v="INICIADO "/>
    <s v="PARANÁ"/>
    <x v="0"/>
    <m/>
  </r>
  <r>
    <x v="128"/>
    <s v="TORRES ANA "/>
    <n v="78"/>
    <n v="4611242"/>
    <s v="COLLOMB"/>
    <s v="FXFEMUR/MUÑE"/>
    <s v="PLACA DOBL/COND/TORN"/>
    <s v="VILLALBA"/>
    <s v="ACEPTADO"/>
    <s v="PARANÁ"/>
    <x v="1"/>
    <m/>
  </r>
  <r>
    <x v="128"/>
    <s v="BARRIOS LIA ZULEMA"/>
    <n v="64"/>
    <n v="12312660"/>
    <s v="STOPELLO"/>
    <s v="GONARTROSIS"/>
    <s v="PTR ANATOMICA"/>
    <s v="IP MAGNA"/>
    <s v="ACEPTADO"/>
    <s v="PARANÁ"/>
    <x v="1"/>
    <m/>
  </r>
  <r>
    <x v="129"/>
    <s v="ACHIABRANDO MANUEL "/>
    <n v="65"/>
    <n v="12064343"/>
    <s v="STOPELLO"/>
    <s v="GONARTROSIS"/>
    <s v="PTR ANATOMICA"/>
    <s v="IP MAGNA"/>
    <s v="ACEPTADO"/>
    <s v="PARANÁ"/>
    <x v="1"/>
    <m/>
  </r>
  <r>
    <x v="130"/>
    <s v="MAZADRI GREGORIA"/>
    <n v="88"/>
    <n v="1680555"/>
    <s v="COLLOMB"/>
    <s v="FX CADERA"/>
    <s v="CLAVO GAMMA"/>
    <s v="VILLALBA"/>
    <s v="ACEPTADO"/>
    <s v="PARANÁ"/>
    <x v="1"/>
    <m/>
  </r>
  <r>
    <x v="130"/>
    <s v="ESPINDOLA LEONARDO"/>
    <n v="46"/>
    <n v="25684526"/>
    <s v="UCEDO"/>
    <s v="ARTROSIS"/>
    <s v="TORN. ESPONJ/ARANDE"/>
    <m/>
    <s v="INICIADO "/>
    <s v="PARANÁ"/>
    <x v="0"/>
    <m/>
  </r>
  <r>
    <x v="130"/>
    <s v="PASUTTI MIRTA "/>
    <n v="65"/>
    <n v="13353631"/>
    <s v="YACOMO"/>
    <s v="GENU VARO"/>
    <s v="PTR ANATOMICA"/>
    <s v="IP MAGNA"/>
    <s v="ACEPTADO"/>
    <s v="PARANÁ"/>
    <x v="1"/>
    <m/>
  </r>
  <r>
    <x v="131"/>
    <s v="FUCHS FLORA "/>
    <n v="86"/>
    <n v="2812570"/>
    <s v="COLLOMB"/>
    <s v="FX CADERA"/>
    <s v="CLAVO GAMMA"/>
    <s v="VILLALBA"/>
    <s v="ACEPTADO"/>
    <s v="PARANÁ"/>
    <x v="1"/>
    <m/>
  </r>
  <r>
    <x v="132"/>
    <s v="GONZALEZ ROBERTO"/>
    <n v="40"/>
    <n v="30187351"/>
    <s v="CESAR MEYNET"/>
    <s v="DISPLASIA DE CA"/>
    <s v="PTC NO CEMET"/>
    <m/>
    <s v="ACEPTADO"/>
    <s v="PARANÁ"/>
    <x v="0"/>
    <m/>
  </r>
  <r>
    <x v="133"/>
    <s v="BASUALDO DANTE "/>
    <n v="63"/>
    <m/>
    <s v="THEAUX"/>
    <s v="COXARTROSIS "/>
    <s v="PTC NO CEMETN COTILO "/>
    <m/>
    <s v="INICIADO "/>
    <s v="PARANÁ"/>
    <x v="0"/>
    <m/>
  </r>
  <r>
    <x v="133"/>
    <s v="ALVARADO MARINA "/>
    <n v="65"/>
    <n v="12224958"/>
    <s v="VENTURI"/>
    <s v="LES/MANGUIT ROT"/>
    <s v="ARPONES "/>
    <s v="IP MAGNA"/>
    <s v="ACEPTADO"/>
    <s v="PARANÁ"/>
    <x v="1"/>
    <m/>
  </r>
  <r>
    <x v="134"/>
    <s v="GIMENEZ LUIS "/>
    <n v="60"/>
    <n v="16166761"/>
    <m/>
    <s v="GENU VARO"/>
    <s v="PLACA PUDDU"/>
    <m/>
    <s v="ACEPTADO"/>
    <s v="PARANÁ"/>
    <x v="0"/>
    <m/>
  </r>
  <r>
    <x v="134"/>
    <s v="MIOLETTO NADIA "/>
    <n v="33"/>
    <n v="35442996"/>
    <s v="YACOMO"/>
    <s v="LCA"/>
    <s v="BOTON / TORN"/>
    <m/>
    <s v="INICIADO "/>
    <s v="PARANÁ"/>
    <x v="0"/>
    <m/>
  </r>
  <r>
    <x v="134"/>
    <s v="MEDINA MARIA "/>
    <n v="59"/>
    <n v="17059031"/>
    <s v="JACOB"/>
    <s v="DISCOPATIA"/>
    <s v="BARRA/TORNI/PLIFF"/>
    <m/>
    <s v="ACEPTADO"/>
    <s v="SANTA ELENA "/>
    <x v="0"/>
    <s v="11 S/M"/>
  </r>
  <r>
    <x v="134"/>
    <s v="MARTINEZ JUANA "/>
    <n v="74"/>
    <n v="5603697"/>
    <s v="YACOMO"/>
    <s v="GONARTROSIS"/>
    <s v="PTR ANATOMICA"/>
    <s v="VILLALBA"/>
    <s v="ACEPTADO"/>
    <s v="PARANÁ"/>
    <x v="1"/>
    <s v="13 PAMI"/>
  </r>
  <r>
    <x v="134"/>
    <s v="MEDINA MARIA EVA "/>
    <n v="69"/>
    <n v="11333156"/>
    <s v="STOPELLO"/>
    <s v="GONARTROSIS"/>
    <s v="PTR ANATOMICA"/>
    <s v="IP MAGNA"/>
    <s v="ACEPTADO"/>
    <s v="PARANÁ"/>
    <x v="1"/>
    <s v="25 PTES "/>
  </r>
  <r>
    <x v="135"/>
    <s v="LOPEZ SILVIA"/>
    <n v="61"/>
    <n v="14718006"/>
    <s v="GARCIA VITOR"/>
    <s v="NOA"/>
    <s v="PTC NO CEMENTADA"/>
    <s v="IP MAGNA"/>
    <s v="ACEPTADO"/>
    <s v="PARANÁ"/>
    <x v="1"/>
    <m/>
  </r>
  <r>
    <x v="136"/>
    <s v="RODRIGUEZ MARTIN "/>
    <n v="35"/>
    <n v="26241096"/>
    <s v="VENTURI"/>
    <s v="OMALGIA IZQ"/>
    <s v="ARPONES "/>
    <m/>
    <s v="INICIADO "/>
    <s v="HERNANDARIAS "/>
    <x v="0"/>
    <m/>
  </r>
  <r>
    <x v="136"/>
    <s v="CORDOBA JONATHAN "/>
    <n v="35"/>
    <n v="34112264"/>
    <s v="CATRIEL GODOY"/>
    <s v="LUX HOMBRO"/>
    <s v="ENDOBOTON "/>
    <m/>
    <s v="ACEPTADO"/>
    <s v="PARANÁ"/>
    <x v="0"/>
    <m/>
  </r>
  <r>
    <x v="137"/>
    <s v="SALAS BLANCA CATALINA"/>
    <n v="90"/>
    <n v="1560618"/>
    <s v="UCEDO"/>
    <s v="FX TIBIA Y PERONE"/>
    <s v="PLACA HILERA DISTAL"/>
    <s v="VILLALBA"/>
    <s v="ACEPTADO"/>
    <s v="PARANÁ"/>
    <x v="1"/>
    <m/>
  </r>
  <r>
    <x v="137"/>
    <s v="CORAJUDIA ADELMA"/>
    <n v="81"/>
    <n v="4211307"/>
    <m/>
    <s v="FX CADERA IZQ"/>
    <s v="CLAVO ENDOMEDULAR"/>
    <s v="VILLALBA"/>
    <s v="ACEPTADO"/>
    <s v="PARANÁ"/>
    <x v="1"/>
    <m/>
  </r>
  <r>
    <x v="138"/>
    <s v="RIOS AVELINA"/>
    <n v="75"/>
    <n v="5771774"/>
    <s v="GARCIA VITOR"/>
    <s v="COXARTROSIS "/>
    <s v="PTC CEMENTADA"/>
    <s v="VILLALBA"/>
    <s v="ACEPTADO"/>
    <s v="PARANÁ"/>
    <x v="1"/>
    <m/>
  </r>
  <r>
    <x v="138"/>
    <s v="ALBORNOZ SIMON"/>
    <n v="69"/>
    <n v="11107118"/>
    <s v="STOPELLO"/>
    <s v="RUPTURA TENDON"/>
    <s v="PTC RODILLA/ MALLA MARLEX"/>
    <s v="VILLALBA"/>
    <s v="ACEPTADO"/>
    <s v="PARANÁ"/>
    <x v="1"/>
    <m/>
  </r>
  <r>
    <x v="139"/>
    <s v="GABAS ETELVINA DORILA"/>
    <n v="94"/>
    <n v="5348158"/>
    <s v="GARCIA VITOR"/>
    <s v="FX CADERA IZQ"/>
    <s v="PROTESIS THOMPSON"/>
    <s v="VILLALBA"/>
    <s v="ACEPTADO"/>
    <s v="PARANÁ"/>
    <x v="1"/>
    <m/>
  </r>
  <r>
    <x v="139"/>
    <s v="PALAVECINO ANGEL RAMON"/>
    <n v="72"/>
    <n v="10413290"/>
    <s v="PEÑA TANIA"/>
    <s v="FX CADERA IZQ"/>
    <s v="PTC CEMENTADA"/>
    <s v="VILLALBA"/>
    <s v="ACEPTADO"/>
    <s v="PARANÁ"/>
    <x v="1"/>
    <m/>
  </r>
  <r>
    <x v="140"/>
    <s v="LESCANO ESTER"/>
    <n v="78"/>
    <n v="5243059"/>
    <s v="GARCIA VITOR"/>
    <s v="FX CADERA IZQ"/>
    <s v="CLAVO PLACA DHS"/>
    <s v="VILLABA"/>
    <s v="ACEPTADO"/>
    <s v="PARANÁ"/>
    <x v="1"/>
    <m/>
  </r>
  <r>
    <x v="140"/>
    <s v="MORALES ARACELI AYELEN"/>
    <n v="24"/>
    <n v="41773404"/>
    <m/>
    <s v="LCA"/>
    <s v="TORNILLO/BOTON"/>
    <m/>
    <s v="INICIADO"/>
    <s v="PARANÁ"/>
    <x v="0"/>
    <m/>
  </r>
  <r>
    <x v="141"/>
    <s v="GABAS IMELDA MARIA "/>
    <n v="85"/>
    <n v="3695744"/>
    <s v="VENTURI"/>
    <s v="FX MUÑECA IZQ"/>
    <s v="PLACA EDH/PLACA 1/3"/>
    <s v="VILLABA"/>
    <s v="ACEPTADO"/>
    <s v="PARANÁ"/>
    <x v="1"/>
    <m/>
  </r>
  <r>
    <x v="142"/>
    <s v="DE LOS SANTOS MARIA "/>
    <n v="67"/>
    <n v="11259970"/>
    <s v="GARCIA VITOR"/>
    <s v="GONARTROSIS"/>
    <s v="PTC TOTAL DE RODILLA"/>
    <s v="VILLABA"/>
    <s v="ACEPTADO"/>
    <s v="PARANÁ"/>
    <x v="1"/>
    <m/>
  </r>
  <r>
    <x v="142"/>
    <s v="PORTILLO SERGIO DANIEL"/>
    <n v="63"/>
    <n v="14357296"/>
    <m/>
    <s v="DEFECT/FEMUR IZQ"/>
    <s v="TUTOR TUBULAR AO"/>
    <s v="VILLABA"/>
    <s v="ACEPTADO"/>
    <s v="PARANÁ"/>
    <x v="1"/>
    <m/>
  </r>
  <r>
    <x v="142"/>
    <s v="RETAMAR JUAN"/>
    <n v="22"/>
    <n v="43341894"/>
    <m/>
    <m/>
    <s v="VALVA REMOPLASTICA"/>
    <m/>
    <s v="INICIADO"/>
    <s v="PARANÁ"/>
    <x v="0"/>
    <m/>
  </r>
  <r>
    <x v="143"/>
    <s v="CAGNANI MIRTHA"/>
    <n v="88"/>
    <n v="2272902"/>
    <m/>
    <s v="FX CADERA DER"/>
    <s v="CLAVO GAMMA"/>
    <s v="VILLABA"/>
    <s v="ACEPTADO"/>
    <s v="PARANÁ"/>
    <x v="1"/>
    <m/>
  </r>
  <r>
    <x v="143"/>
    <s v="SANCHEZ ALEJANDRA"/>
    <n v="62"/>
    <n v="14669771"/>
    <s v="URANGA "/>
    <s v="COLUMNA"/>
    <s v="TORNILLOS/BARRAS/PLIF/SUST-OSEO"/>
    <m/>
    <s v="INICIADO"/>
    <s v="PARANÁ"/>
    <x v="0"/>
    <m/>
  </r>
  <r>
    <x v="143"/>
    <s v="TORRES ANA"/>
    <n v="78"/>
    <n v="4611242"/>
    <m/>
    <s v="FX FEMUR"/>
    <s v="PLACA ANAT/PILON-TIBIAL"/>
    <s v="VILLABA"/>
    <s v="ACEPTADO"/>
    <s v="PARANÁ"/>
    <x v="1"/>
    <m/>
  </r>
  <r>
    <x v="144"/>
    <s v="GRACIELA INES"/>
    <n v="66"/>
    <n v="12284365"/>
    <m/>
    <s v="GONARTROSIS"/>
    <s v="PTC TOTAL DE RODILLA"/>
    <s v="VILLABA"/>
    <s v="ACEPTADO"/>
    <s v="PARANÁ"/>
    <x v="1"/>
    <m/>
  </r>
  <r>
    <x v="145"/>
    <s v="CORREA HORTENCIA"/>
    <n v="79"/>
    <n v="4834475"/>
    <m/>
    <s v="FX INTRAPELVICA"/>
    <s v="PTC TOTAL DE RODILLA"/>
    <s v="VILLABA"/>
    <s v="ACEPTADO"/>
    <s v="PARANÁ"/>
    <x v="1"/>
    <m/>
  </r>
  <r>
    <x v="146"/>
    <s v="CORREA HORTENCIA"/>
    <n v="79"/>
    <n v="4834475"/>
    <m/>
    <s v="SISTEM/FIJACION"/>
    <s v="FRACTURA T12"/>
    <s v="VILLABA"/>
    <s v="ACEPTADO"/>
    <s v="PARANÁ"/>
    <x v="1"/>
    <m/>
  </r>
  <r>
    <x v="147"/>
    <s v="MONEY VIOLETA"/>
    <n v="61"/>
    <n v="16435298"/>
    <m/>
    <s v="FX PROX HUMERO"/>
    <s v="PLACA PHILOS"/>
    <s v="VILLABA"/>
    <s v="ACEPTADO"/>
    <s v="PARANÁ"/>
    <x v="1"/>
    <m/>
  </r>
  <r>
    <x v="148"/>
    <s v="FERREYRA MARIA DEL CARMEN"/>
    <n v="60"/>
    <n v="16048294"/>
    <s v="YACOMO"/>
    <s v="GONARTROSIS"/>
    <s v="PTC TOTAL DE RODILLA"/>
    <s v="VILLABA"/>
    <s v="ACEPTADO"/>
    <s v="PARANÁ"/>
    <x v="1"/>
    <m/>
  </r>
  <r>
    <x v="148"/>
    <s v="QUIROGA ROBERTO ALFREDO"/>
    <n v="77"/>
    <n v="4647982"/>
    <s v="URANGA "/>
    <s v="FX"/>
    <s v="PTC THOMPSON"/>
    <s v="VILLABA"/>
    <s v="ACEPTADO"/>
    <s v="PARANÁ"/>
    <x v="1"/>
    <m/>
  </r>
  <r>
    <x v="148"/>
    <s v="ANTUNEZ MIRTHA"/>
    <n v="68"/>
    <n v="92356158"/>
    <m/>
    <s v="HALLUX VALVUS"/>
    <s v="PLACA T Y L"/>
    <s v="VILLABA"/>
    <s v="ACEPTADO"/>
    <s v="PARANÁ"/>
    <x v="1"/>
    <m/>
  </r>
  <r>
    <x v="148"/>
    <s v="BOLZAN NORMA"/>
    <n v="91"/>
    <n v="2971452"/>
    <m/>
    <s v="FX CADERA IZQ"/>
    <s v="CLAVO GAMMA"/>
    <s v="VILLABA"/>
    <s v="ACEPTADO"/>
    <s v="PARANÁ"/>
    <x v="1"/>
    <m/>
  </r>
  <r>
    <x v="149"/>
    <s v="SCHMIDT HERNAN "/>
    <n v="15"/>
    <n v="48823030"/>
    <s v="GARCIA VITOR"/>
    <s v="OSTEORTRITIS"/>
    <s v="PTC TOTAL DE CADERA"/>
    <m/>
    <s v="INICIADO"/>
    <s v="PARANÁ"/>
    <x v="0"/>
    <m/>
  </r>
  <r>
    <x v="149"/>
    <s v="STROHL NELIDA"/>
    <n v="75"/>
    <n v="5730575"/>
    <m/>
    <s v="COXOARTROSIS"/>
    <s v="PTC DE CADERA "/>
    <s v="VILLABA"/>
    <s v="ACEPTADO"/>
    <s v="PARANÁ"/>
    <x v="1"/>
    <m/>
  </r>
  <r>
    <x v="150"/>
    <s v="VARGAS JUAN"/>
    <n v="68"/>
    <n v="1556773"/>
    <m/>
    <s v="FX TOBILLO"/>
    <s v="PLACA 1/3 TUBO"/>
    <s v="VILLABA"/>
    <s v="ACEPTADO"/>
    <s v="PARANÁ"/>
    <x v="1"/>
    <m/>
  </r>
  <r>
    <x v="150"/>
    <s v="AYALA STELLA"/>
    <n v="54"/>
    <n v="20894665"/>
    <m/>
    <s v="FX CALCANEO"/>
    <s v="PLACA LAMBDA/TOR-CAN"/>
    <s v="VILLABA"/>
    <s v="ACEPTADO"/>
    <s v="PARANÁ"/>
    <x v="1"/>
    <m/>
  </r>
  <r>
    <x v="151"/>
    <s v="GIORGIO ESTER EMILCE"/>
    <n v="57"/>
    <n v="18071826"/>
    <m/>
    <s v="GONARTROSIS"/>
    <s v="PTC TOTAL DE RODILLA"/>
    <s v="VILLABA"/>
    <s v="ACEPTADO"/>
    <s v="PARANÁ"/>
    <x v="1"/>
    <m/>
  </r>
  <r>
    <x v="151"/>
    <s v="AGUSTIN GIACCIO "/>
    <m/>
    <n v="40990709"/>
    <m/>
    <s v="LCA"/>
    <s v="TOR/BOTON/PUNTA/INMOL"/>
    <m/>
    <s v="INICIADO"/>
    <s v="PARANÁ"/>
    <x v="0"/>
    <m/>
  </r>
  <r>
    <x v="151"/>
    <s v="ACOSTA LEANDRO"/>
    <m/>
    <n v="44283523"/>
    <s v="GARCIA VITOR"/>
    <s v="LCA"/>
    <s v="TOR/BOTON/PUNTA/INMOL"/>
    <m/>
    <s v="INICIADO"/>
    <s v="PARANÁ"/>
    <x v="0"/>
    <m/>
  </r>
  <r>
    <x v="151"/>
    <s v="RIVERO LIDIA ELENA"/>
    <n v="71"/>
    <n v="10744151"/>
    <m/>
    <s v="GONARTROSIS"/>
    <s v="REEMPLAZO DE ROD "/>
    <s v="VILLABA"/>
    <s v="ACEPTADO"/>
    <s v="PARANÁ"/>
    <x v="1"/>
    <m/>
  </r>
  <r>
    <x v="151"/>
    <s v="CAMPOS MIRTA"/>
    <n v="72"/>
    <n v="10499155"/>
    <s v="GARCIA VITOR"/>
    <s v="PTC TOTAL DE ROD"/>
    <s v="GONARTROSIS"/>
    <s v="VILLABA"/>
    <s v="ACEPTADO"/>
    <s v="PARANÁ"/>
    <x v="1"/>
    <m/>
  </r>
  <r>
    <x v="151"/>
    <s v="HILMAN ELENA"/>
    <n v="67"/>
    <n v="12313673"/>
    <m/>
    <s v="PTC TOTAL DE ROD"/>
    <s v="GONARTROSIS"/>
    <s v="VILLABA"/>
    <s v="ACEPTADO"/>
    <s v="PARANÁ"/>
    <x v="1"/>
    <m/>
  </r>
  <r>
    <x v="151"/>
    <s v="CARRERAS LILIANA"/>
    <n v="72"/>
    <n v="10315753"/>
    <m/>
    <s v="PTC TOTAL DE CAD"/>
    <s v="COXOARTROSIS"/>
    <s v="VILLABA"/>
    <s v="ACEPTADO"/>
    <s v="PARANÁ"/>
    <x v="1"/>
    <m/>
  </r>
  <r>
    <x v="152"/>
    <s v="YURI UZIEL"/>
    <n v="54"/>
    <n v="20934365"/>
    <s v="RESIDENTES"/>
    <s v="TOR/PLACA/CLAV"/>
    <s v="FX FEMUR Y PLATILLO"/>
    <s v="VILLABA"/>
    <s v="ACEPTADO"/>
    <s v="PARANÁ"/>
    <x v="1"/>
    <m/>
  </r>
  <r>
    <x v="153"/>
    <s v="GRIFIF JUAN ROMAN"/>
    <n v="20"/>
    <m/>
    <s v="GARCIA VITOR"/>
    <s v="BOTON "/>
    <s v="FX TIBIA"/>
    <m/>
    <s v="INICIADO"/>
    <s v="PARANÁ"/>
    <x v="0"/>
    <m/>
  </r>
  <r>
    <x v="154"/>
    <s v="LENCINA MARIA "/>
    <n v="69"/>
    <n v="1154450"/>
    <s v="CASERES"/>
    <s v="FX  CUBITO"/>
    <s v="PLACA TERCI TUBO"/>
    <s v="IP MAGNA "/>
    <s v="ACEPTADO"/>
    <s v="PARANÁ"/>
    <x v="1"/>
    <m/>
  </r>
  <r>
    <x v="155"/>
    <s v="ECHAVIYU FELIPA "/>
    <n v="89"/>
    <n v="2021835"/>
    <s v="CASERES"/>
    <s v="FX CADERA"/>
    <s v="CLAVO GAMMA"/>
    <s v="VILLALBA"/>
    <s v="ACEPTADO"/>
    <s v="PARANÁ"/>
    <x v="1"/>
    <m/>
  </r>
  <r>
    <x v="155"/>
    <s v="FERNANDEZ LUISA"/>
    <n v="92"/>
    <n v="2811058"/>
    <s v="CASERES"/>
    <s v="FX CADERA"/>
    <s v="PTC CEMENT/COTILO D"/>
    <s v="VILLALBA"/>
    <s v="ACEPTADO"/>
    <s v="PARANÁ"/>
    <x v="1"/>
    <m/>
  </r>
  <r>
    <x v="155"/>
    <s v="ACEVEDO OLGA "/>
    <n v="84"/>
    <n v="3786740"/>
    <s v="CASERES"/>
    <s v="FX CADERA"/>
    <s v="PTC CEMENT/COTILO D"/>
    <s v="VILLALBA"/>
    <s v="ACEPTADO"/>
    <s v="PARANÁ"/>
    <x v="1"/>
    <m/>
  </r>
  <r>
    <x v="156"/>
    <s v="SILVA JORGELINA "/>
    <n v="63"/>
    <n v="1416065"/>
    <s v="GARCIA VITOR"/>
    <s v="AFLOJ PROTESICO"/>
    <s v="PTC DE REVISION "/>
    <s v="IP MAGNA "/>
    <s v="ACEPTADO"/>
    <s v="PARANÁ"/>
    <x v="1"/>
    <m/>
  </r>
  <r>
    <x v="156"/>
    <s v="GODOY BLANCA "/>
    <n v="74"/>
    <n v="6077428"/>
    <s v="URANGA "/>
    <s v="ESCOLIOSIS"/>
    <s v="TORN/BARRAS/DRIL"/>
    <s v="VILLALBA"/>
    <s v="ACEPTADO"/>
    <s v="PARANÁ"/>
    <x v="1"/>
    <m/>
  </r>
  <r>
    <x v="156"/>
    <s v="HAEDO NELIDA "/>
    <n v="70"/>
    <n v="10757023"/>
    <s v="CASERES"/>
    <s v="C DERECHA"/>
    <s v="ESPACIADOR"/>
    <s v="VILLALBA"/>
    <s v="ACEPTADO"/>
    <s v="PARANÁ"/>
    <x v="1"/>
    <m/>
  </r>
  <r>
    <x v="156"/>
    <s v="PALACIOS ELIDA "/>
    <n v="77"/>
    <n v="513186"/>
    <s v="CASERES"/>
    <s v="GONARTROSIS"/>
    <s v="PTR PRIMARIA"/>
    <s v="VILLALBA"/>
    <s v="ACEPTADO"/>
    <s v="PARANÁ"/>
    <x v="1"/>
    <m/>
  </r>
  <r>
    <x v="157"/>
    <s v="SANCHEZ CARMEN "/>
    <n v="75"/>
    <n v="5968783"/>
    <s v="STOPELLO"/>
    <s v="VARO COMPLEJO"/>
    <s v="PTR DE REVISION "/>
    <s v="VILLALBA"/>
    <s v="ACEPTADO"/>
    <s v="PARANÁ"/>
    <x v="1"/>
    <m/>
  </r>
  <r>
    <x v="157"/>
    <s v="ARELLANO ADRIAN"/>
    <n v="41"/>
    <m/>
    <s v="GARCIA VITOR"/>
    <s v="LCA"/>
    <s v="TORN/ENDOBOTON"/>
    <m/>
    <s v="INICIADO"/>
    <s v="VILLAGUAY"/>
    <x v="0"/>
    <m/>
  </r>
  <r>
    <x v="158"/>
    <s v="CABRERA GRISELDA"/>
    <n v="64"/>
    <n v="13043932"/>
    <s v="CASERES"/>
    <s v="FX TOBILLO"/>
    <s v="PLACA TERCI TUBO"/>
    <s v="VILLALBA"/>
    <s v="ACEPTADO"/>
    <s v="PARANÁ"/>
    <x v="1"/>
    <m/>
  </r>
  <r>
    <x v="158"/>
    <s v="RAMIREZ PATRICIA"/>
    <n v="55"/>
    <n v="20288220"/>
    <s v="GARCIA VITOR"/>
    <s v="FX CADERA"/>
    <s v="PTC NO CEMENT"/>
    <s v="IP MAGNA "/>
    <s v="ACEPTADO"/>
    <s v="PARANÁ"/>
    <x v="1"/>
    <m/>
  </r>
  <r>
    <x v="159"/>
    <s v="IBARRA MARIA LUISA "/>
    <n v="75"/>
    <n v="5789926"/>
    <s v="UCEDO"/>
    <s v="HALLUXVALGO"/>
    <s v="TORN TIPO BAROUK"/>
    <s v="VILLALBA"/>
    <s v="ACEPTADO"/>
    <s v="PARANÁ"/>
    <x v="1"/>
    <m/>
  </r>
  <r>
    <x v="159"/>
    <s v="LOPEZ SILVIA "/>
    <n v="62"/>
    <n v="14718006"/>
    <s v="GARCIA VITOR"/>
    <s v="NECROSIS  CAD"/>
    <s v="PTC NO CEMENT"/>
    <s v="IP MAGNA "/>
    <s v="ACEPTADO"/>
    <s v="PARANÁ"/>
    <x v="1"/>
    <m/>
  </r>
  <r>
    <x v="159"/>
    <s v="GERSTNER VICTORIA"/>
    <n v="66"/>
    <n v="11793527"/>
    <s v="STOPELLO"/>
    <s v="COXARTROSIS "/>
    <s v="PTC NO CEMENT"/>
    <s v="IP MAGNA "/>
    <s v="ACEPTADO"/>
    <s v="PARANÁ"/>
    <x v="1"/>
    <m/>
  </r>
  <r>
    <x v="160"/>
    <s v="ORELLANO MANUEL"/>
    <n v="85"/>
    <n v="5477438"/>
    <s v="CASERES"/>
    <s v="FX PELVIS"/>
    <s v="PLACA RECOSNT"/>
    <s v="VILLALBA"/>
    <s v="ACEPTADO"/>
    <s v="PARANÁ"/>
    <x v="1"/>
    <m/>
  </r>
  <r>
    <x v="161"/>
    <s v="GODOY RITA"/>
    <n v="55"/>
    <n v="20288312"/>
    <s v="CASERES"/>
    <s v="FX CADERA"/>
    <s v="PTC NO CEMENT"/>
    <s v="URGENTE "/>
    <s v="INICIADO"/>
    <s v="PARANÁ"/>
    <x v="0"/>
    <m/>
  </r>
  <r>
    <x v="162"/>
    <s v="MONZON NERCEDES ELENA"/>
    <n v="75"/>
    <n v="5716069"/>
    <m/>
    <s v="GONARTROSIS"/>
    <s v="PTC DE ROD CON VAST"/>
    <s v="VILLALBA"/>
    <s v="ACEPTADO"/>
    <s v="PARANÁ"/>
    <x v="1"/>
    <m/>
  </r>
  <r>
    <x v="162"/>
    <s v="AVILES JUAN"/>
    <n v="72"/>
    <n v="10190097"/>
    <s v="CESAR MEYNET"/>
    <s v="GENUVARO ART"/>
    <s v="PTC ROD DERECHA"/>
    <s v="VILLALBA"/>
    <s v="ACEPTADO"/>
    <s v="PARANÁ"/>
    <x v="1"/>
    <m/>
  </r>
  <r>
    <x v="162"/>
    <s v="GAREIS YOLANDA"/>
    <n v="69"/>
    <n v="11556217"/>
    <m/>
    <s v="GENUVARO ART"/>
    <s v="REEMPLAZO T DE RODILLA"/>
    <m/>
    <s v="ACEPTADO"/>
    <s v="PARANÁ"/>
    <x v="1"/>
    <m/>
  </r>
  <r>
    <x v="162"/>
    <s v="PERALTA DIANA MARIA"/>
    <n v="64"/>
    <n v="13183372"/>
    <m/>
    <s v="ARTROSIS"/>
    <s v="PTC DE ROD  "/>
    <s v="VILLALBA"/>
    <s v="ACEPTADO"/>
    <s v="PARANÁ"/>
    <x v="1"/>
    <m/>
  </r>
  <r>
    <x v="162"/>
    <s v="WOLF NIDIA"/>
    <n v="85"/>
    <n v="3300751"/>
    <s v="CASERES"/>
    <s v="FX CADERA IZQ"/>
    <s v="PTC COTILO DOBLE MOV"/>
    <m/>
    <s v="ACEPTADO"/>
    <s v="PARANÁ"/>
    <x v="1"/>
    <m/>
  </r>
  <r>
    <x v="162"/>
    <s v="PEREYRA ALICIA LILIANA"/>
    <n v="66"/>
    <n v="12499249"/>
    <s v="CASERES"/>
    <s v="FX DE MUÑECA "/>
    <s v="PLACA EDR"/>
    <s v="VILLALBA "/>
    <s v="ACEPTADO"/>
    <s v="PARANÁ"/>
    <x v="1"/>
    <m/>
  </r>
  <r>
    <x v="162"/>
    <s v="BRITES DOLORES"/>
    <n v="69"/>
    <n v="11379634"/>
    <s v="CASERES"/>
    <s v="FX DE CADERA"/>
    <s v="CLAVO DHS "/>
    <m/>
    <s v="ACEPTADO"/>
    <s v="PARANÁ"/>
    <x v="1"/>
    <m/>
  </r>
  <r>
    <x v="162"/>
    <s v="TOSAS NORMA"/>
    <n v="72"/>
    <n v="10444472"/>
    <s v="CATRIEL GODOY"/>
    <s v="FX HUMERO "/>
    <s v="PLACA PHILO"/>
    <s v="VILLALBA"/>
    <s v="ACEPTADO"/>
    <s v="PARANÁ"/>
    <x v="1"/>
    <m/>
  </r>
  <r>
    <x v="163"/>
    <s v="GAREIS YOLANDA"/>
    <n v="69"/>
    <n v="11556217"/>
    <m/>
    <s v="GENUVARO AR"/>
    <s v="REEMPLAZO ROD"/>
    <m/>
    <s v="ACEPTADO"/>
    <s v="PARANÁ"/>
    <x v="1"/>
    <m/>
  </r>
  <r>
    <x v="164"/>
    <s v="GALVAN JOSE"/>
    <n v="42"/>
    <n v="29024691"/>
    <s v="CASERES"/>
    <s v="FX CALCANEO"/>
    <s v="SET DE TORNILLOS CANUL"/>
    <m/>
    <s v="ACEPTADO"/>
    <m/>
    <x v="0"/>
    <m/>
  </r>
  <r>
    <x v="165"/>
    <s v="GODOY MATIAS"/>
    <n v="36"/>
    <n v="33130146"/>
    <s v="CASERES"/>
    <s v="FX CADERA"/>
    <s v="CLAVO GAMMA"/>
    <s v="VILLALBA "/>
    <s v="ACEPTADO"/>
    <s v="PARANÁ"/>
    <x v="1"/>
    <m/>
  </r>
  <r>
    <x v="166"/>
    <s v="PEREZ AURELIA"/>
    <n v="66"/>
    <n v="13270608"/>
    <m/>
    <s v="GONARTROSIS"/>
    <s v="PROTESIS DE RODILLA"/>
    <s v="VILLALBA "/>
    <s v="ACEPTADO"/>
    <s v="PARANÁ"/>
    <x v="1"/>
    <m/>
  </r>
  <r>
    <x v="167"/>
    <s v="MANZANO EDUARDO"/>
    <n v="68"/>
    <n v="11702061"/>
    <s v="CASERES"/>
    <s v="FX TIBIA Y PER"/>
    <s v="CLAVO DE TIBIA "/>
    <m/>
    <s v="ACEPTADO"/>
    <s v="PARANÁ"/>
    <x v="1"/>
    <m/>
  </r>
  <r>
    <x v="167"/>
    <s v="ERHAT LEA TERESA"/>
    <n v="72"/>
    <n v="10070044"/>
    <s v="YACOMO"/>
    <s v="GONARTROSIS"/>
    <s v="PLACA PHILO"/>
    <m/>
    <s v="ACEPTADO"/>
    <s v="PARANÁ"/>
    <x v="1"/>
    <m/>
  </r>
  <r>
    <x v="167"/>
    <s v="MARTINEZ SUSANA"/>
    <m/>
    <n v="20656374"/>
    <s v="GARCIA VITOR"/>
    <s v="COXARTROSIS"/>
    <s v="PTC COTILO DOBLE M TALLO FEMORAL"/>
    <m/>
    <s v="ACEPTADO"/>
    <s v="VILLAGUAY"/>
    <x v="0"/>
    <m/>
  </r>
  <r>
    <x v="168"/>
    <s v="PABON CELINA LUISA"/>
    <n v="64"/>
    <n v="14094225"/>
    <s v="UCEDO"/>
    <s v="FX MUÑECA"/>
    <s v="PLACA EDR"/>
    <s v="VILLALBA "/>
    <s v="ACEPTADO"/>
    <s v="PARANÁ"/>
    <x v="1"/>
    <m/>
  </r>
  <r>
    <x v="168"/>
    <s v="EBERHARDT RAQUEL"/>
    <n v="89"/>
    <n v="5942568"/>
    <s v="CASERES"/>
    <s v="FX CADERA"/>
    <s v="CLAVO GAMMA"/>
    <s v="VILLALBA "/>
    <s v="ACEPTADO"/>
    <s v="PARANÁ"/>
    <x v="1"/>
    <m/>
  </r>
  <r>
    <x v="168"/>
    <s v="MESA BERNARDO"/>
    <n v="75"/>
    <n v="4992862"/>
    <s v="CASERES"/>
    <s v="FX CADERA"/>
    <s v="CLAVO GAMMA"/>
    <s v="VILLALBA "/>
    <s v="ACEPTADO"/>
    <s v="PARANÁ"/>
    <x v="1"/>
    <m/>
  </r>
  <r>
    <x v="168"/>
    <s v="BRASSEUR AMALIA"/>
    <n v="79"/>
    <n v="4924127"/>
    <s v="CASERES"/>
    <s v="FX MUÑECA"/>
    <s v="PLACA EDR"/>
    <s v="VILLALBA "/>
    <s v="ACEPTADO"/>
    <s v="PARANÁ"/>
    <x v="1"/>
    <m/>
  </r>
  <r>
    <x v="168"/>
    <s v="VILLAVERDE ALICIA"/>
    <n v="69"/>
    <n v="11263062"/>
    <s v="UCEDO"/>
    <s v="HALLUX VALGUS"/>
    <s v="TORNILLO BAROUK CLAVI"/>
    <s v="VILLALBA "/>
    <s v="ACEPTADO"/>
    <s v="PARANÁ"/>
    <x v="1"/>
    <m/>
  </r>
  <r>
    <x v="168"/>
    <s v="SCRIBANTI SANTINA"/>
    <n v="71"/>
    <n v="10700519"/>
    <s v="CASERES"/>
    <s v="FX HUMERO"/>
    <s v="PLACA PHILO T CANULAD"/>
    <s v="VILLALBA "/>
    <s v="ACEPTADO"/>
    <s v="PARANÁ"/>
    <x v="1"/>
    <m/>
  </r>
  <r>
    <x v="168"/>
    <s v="COLLIARD ANDREA"/>
    <n v="32"/>
    <n v="36208670"/>
    <s v="GARCIA VITOR"/>
    <s v="OSTEOARTRITIS"/>
    <s v="ACIDO HIALURONICO JERIN"/>
    <m/>
    <s v="ACEPTADO"/>
    <s v="PARANÁ"/>
    <x v="0"/>
    <m/>
  </r>
  <r>
    <x v="168"/>
    <s v="MAYDANA SANTIAGO"/>
    <n v="26"/>
    <n v="40168388"/>
    <s v="GARCIA VITOR"/>
    <s v="LCA"/>
    <m/>
    <m/>
    <s v="ACEPTADO"/>
    <s v="PARANÁ"/>
    <x v="0"/>
    <m/>
  </r>
  <r>
    <x v="168"/>
    <s v="OJEDA URIEL "/>
    <n v="16"/>
    <n v="47980851"/>
    <s v="GARCIA VITOR"/>
    <s v="LCA"/>
    <s v="PLANTILLAS"/>
    <m/>
    <s v="ACEPTADO"/>
    <s v="PARANÁ"/>
    <x v="0"/>
    <m/>
  </r>
  <r>
    <x v="168"/>
    <s v="DUARTE FEDERICO"/>
    <n v="28"/>
    <n v="39028553"/>
    <m/>
    <s v="SECCION TEN AQ"/>
    <s v="ARPON 4,5"/>
    <m/>
    <s v="ACEPTADO"/>
    <s v="PARANÁ"/>
    <x v="0"/>
    <m/>
  </r>
  <r>
    <x v="168"/>
    <s v="ALBORNOZ IVAN"/>
    <n v="23"/>
    <n v="45552174"/>
    <s v="GARCIA VITOR"/>
    <s v="FX CADERA"/>
    <s v="CLAVO DHS CLAVO FEMUR"/>
    <m/>
    <s v="ACEPTADO"/>
    <s v="PARANÁ"/>
    <x v="0"/>
    <m/>
  </r>
  <r>
    <x v="169"/>
    <s v="PANICALI NICOLAS"/>
    <n v="17"/>
    <n v="47327104"/>
    <s v="HERMIDA "/>
    <s v="LCA"/>
    <s v="ENDOBOTON TOR INTER  SET DE SUTURA MEÑISCAL"/>
    <m/>
    <s v="ACEPTADO"/>
    <s v="ALCARAZ"/>
    <x v="0"/>
    <m/>
  </r>
  <r>
    <x v="169"/>
    <s v="GOROSITO GRISELDA"/>
    <n v="58"/>
    <n v="17296928"/>
    <s v="GARCIA VITOR"/>
    <s v="GENUVARO ART"/>
    <s v="PTC RODILLA DERECHA"/>
    <m/>
    <s v="ACEPTADO"/>
    <s v="VILLAGUAY"/>
    <x v="0"/>
    <m/>
  </r>
  <r>
    <x v="169"/>
    <s v="GAZAGNE LIBERTAD"/>
    <n v="82"/>
    <n v="4269932"/>
    <s v="CASERES"/>
    <s v="FX CADERA"/>
    <s v="PTC THOMPSON"/>
    <s v="VILLALBA "/>
    <s v="ACEPTADO"/>
    <s v="PARANÁ"/>
    <x v="1"/>
    <m/>
  </r>
  <r>
    <x v="169"/>
    <s v="GODOY GASTON"/>
    <n v="45"/>
    <n v="26977130"/>
    <s v="GARCIA VITOR"/>
    <s v="LCA"/>
    <s v="BOTON AUTOAJUSTABLE"/>
    <m/>
    <s v="ACEPTADO"/>
    <s v="PARANÁ"/>
    <x v="0"/>
    <m/>
  </r>
  <r>
    <x v="170"/>
    <s v="SANCHEZ MARIA"/>
    <n v="72"/>
    <n v="6431498"/>
    <s v="STOPELLO"/>
    <s v="GONARTROSIS"/>
    <s v="SIST DE RODILLA PARA RTR CEMENTADO COM FEM"/>
    <m/>
    <s v="ACEPTADO"/>
    <s v="RAMIREZ"/>
    <x v="0"/>
    <m/>
  </r>
  <r>
    <x v="170"/>
    <s v="FORZIATI ANGELA"/>
    <n v="79"/>
    <n v="4924689"/>
    <s v="YACOMO"/>
    <s v="OSTEOTOMIA HV"/>
    <s v="TORNILLO DE HERBERT"/>
    <s v="VILLALBA "/>
    <s v="ACEPTADO"/>
    <s v="PARANÁ"/>
    <x v="1"/>
    <m/>
  </r>
  <r>
    <x v="170"/>
    <s v="SUCARRAT MIGUEL"/>
    <n v="75"/>
    <n v="5097555"/>
    <s v="STOPELLO"/>
    <m/>
    <s v="RTR ANATOMICO MODUL"/>
    <s v="VILLALBA "/>
    <s v="ACEPTADO"/>
    <s v="PARANÁ"/>
    <x v="1"/>
    <m/>
  </r>
  <r>
    <x v="171"/>
    <s v="PROSS DELIA"/>
    <n v="76"/>
    <n v="5730007"/>
    <m/>
    <s v="FX CADERA"/>
    <s v="CLAVO GAMMA"/>
    <s v="VILLALBA "/>
    <s v="ACEPTADO"/>
    <s v="PARANÁ "/>
    <x v="1"/>
    <m/>
  </r>
  <r>
    <x v="171"/>
    <s v="PATIÑO DAMARIS"/>
    <n v="16"/>
    <n v="48827499"/>
    <s v="CASERES"/>
    <s v="FX TOBILLO"/>
    <s v="PLACA TERCIO TUBO"/>
    <m/>
    <s v="ACEPTADO"/>
    <s v="PARANÁ"/>
    <x v="0"/>
    <m/>
  </r>
  <r>
    <x v="172"/>
    <s v="VENENCIO AURORA"/>
    <n v="45"/>
    <n v="27006981"/>
    <s v="CASERES"/>
    <s v="FX MUÑECA"/>
    <s v="PLACA EDR"/>
    <m/>
    <s v="ACEPTADO"/>
    <s v="PARANÁ"/>
    <x v="0"/>
    <m/>
  </r>
  <r>
    <x v="173"/>
    <s v="RAMALLO MIRTA"/>
    <n v="74"/>
    <n v="6203362"/>
    <s v="UCEDO"/>
    <s v="FX CADERA"/>
    <s v="PTC COTILO DM TALLO LY C"/>
    <s v="VILLALBA "/>
    <s v="ACEPTADO"/>
    <s v="PARANÁ"/>
    <x v="1"/>
    <m/>
  </r>
  <r>
    <x v="173"/>
    <s v="AGUILAR MARIA EVA"/>
    <n v="71"/>
    <n v="6501721"/>
    <s v="CASERES"/>
    <s v="FX MUÑECA"/>
    <s v="PLACA EDR DOBLE HILERA"/>
    <s v="VILLALBA "/>
    <s v="ACEPTADO"/>
    <s v="PARANÁ"/>
    <x v="1"/>
    <m/>
  </r>
  <r>
    <x v="174"/>
    <s v="MORALES IRMA LORENZA"/>
    <n v="72"/>
    <n v="10069859"/>
    <s v="CASERES"/>
    <s v="FX MUÑECA"/>
    <s v="PLACA EDR DOBLE HILERA"/>
    <s v="VILLALBA "/>
    <s v="ACEPTADO"/>
    <s v="PARANÁ"/>
    <x v="1"/>
    <m/>
  </r>
  <r>
    <x v="174"/>
    <s v="WAGNER OLGA"/>
    <n v="77"/>
    <n v="5661603"/>
    <s v="GARCIA VITOR"/>
    <s v="AFLOJAMIE URT"/>
    <s v="ESPACIADOR"/>
    <s v="VILLALBA "/>
    <s v="ACEPTADO"/>
    <s v="PARANÁ"/>
    <x v="1"/>
    <m/>
  </r>
  <r>
    <x v="174"/>
    <s v="FRIES RUBEN"/>
    <n v="74"/>
    <n v="10696480"/>
    <s v="GARCIA VITOR"/>
    <s v="INFECC PERIPRO"/>
    <s v="ESPACIADOR"/>
    <s v="VILLALBA "/>
    <s v="ACEPTADO"/>
    <s v="PARANÁ"/>
    <x v="1"/>
    <m/>
  </r>
  <r>
    <x v="174"/>
    <s v="CHARVEY ELSA"/>
    <n v="67"/>
    <n v="12756628"/>
    <s v="STOPELLO"/>
    <s v="GONARTROSIS"/>
    <s v="PTR DERECHA"/>
    <s v="VILLALBA "/>
    <s v="ACEPTADO"/>
    <s v="PARANÁ"/>
    <x v="1"/>
    <m/>
  </r>
  <r>
    <x v="174"/>
    <s v="CONSTANTE SILVIA"/>
    <n v="63"/>
    <n v="14367415"/>
    <s v="STOPELLO"/>
    <s v="GONARTROSIS"/>
    <s v="PTR IZQUIERDA"/>
    <s v="VILLALBA "/>
    <s v="ACEPTADO"/>
    <s v="PARANÁ"/>
    <x v="1"/>
    <m/>
  </r>
  <r>
    <x v="175"/>
    <s v="ALACANO JUAN"/>
    <n v="58"/>
    <n v="16981302"/>
    <s v="STOPELLO"/>
    <s v="GONARTROSIS"/>
    <s v="SIST DE RODILLA PARA RTR CEMENTADO COM FEM"/>
    <m/>
    <s v="ACEPTADO"/>
    <s v="PARANÁ"/>
    <x v="0"/>
    <m/>
  </r>
  <r>
    <x v="175"/>
    <s v="CARRARA JULIO"/>
    <n v="78"/>
    <n v="6263191"/>
    <s v="CATRIEL GODOY"/>
    <s v="OSTEOSINTESIS"/>
    <s v="PLACA DHS"/>
    <s v="VILLALBA "/>
    <s v="ACEPTADO"/>
    <s v="PARANÁ"/>
    <x v="1"/>
    <m/>
  </r>
  <r>
    <x v="176"/>
    <s v="DEL VALLE ORLANDO"/>
    <n v="75"/>
    <n v="6079414"/>
    <s v="STOPELLO"/>
    <s v="AFLOJAMIENTO P"/>
    <s v="PTC DE REVISION"/>
    <s v="VILLALBA "/>
    <s v="ACEPTADO"/>
    <s v="PARANÁ"/>
    <x v="1"/>
    <m/>
  </r>
  <r>
    <x v="176"/>
    <s v="PEIRANO PATRICIA"/>
    <n v="64"/>
    <n v="14367082"/>
    <s v="GARCIA VITOR"/>
    <s v="FX MUÑECA"/>
    <s v="PLACA DOBLE HILERA"/>
    <s v="VILLALBA "/>
    <s v="ACEPTADO"/>
    <s v="PARANÁ"/>
    <x v="1"/>
    <m/>
  </r>
  <r>
    <x v="176"/>
    <s v="FERNANDEZ MANUELA"/>
    <n v="79"/>
    <n v="1680238"/>
    <s v="MELI RIOS"/>
    <s v="FX CADERA"/>
    <s v="PTC THOMPSON"/>
    <s v="VILLALBA "/>
    <s v="ACEPTADO"/>
    <s v="PARANÁ"/>
    <x v="1"/>
    <m/>
  </r>
  <r>
    <x v="176"/>
    <s v="MARTINEZ OSCAR"/>
    <n v="68"/>
    <n v="11556530"/>
    <s v="MELI RIOS"/>
    <s v="LUXOFRACTURA"/>
    <s v="T CANULADOS PLACA 2. 4"/>
    <s v="VILLALBA "/>
    <s v="ACEPTADO"/>
    <s v="PARANÁ"/>
    <x v="1"/>
    <m/>
  </r>
  <r>
    <x v="176"/>
    <s v="MONTENEGRO TERESA"/>
    <n v="74"/>
    <n v="5690669"/>
    <s v="VENTURI"/>
    <s v="ART RODILLA"/>
    <s v="PTR "/>
    <s v="VILLALBA "/>
    <s v="ACEPTADO"/>
    <s v="PARANÁ"/>
    <x v="1"/>
    <m/>
  </r>
  <r>
    <x v="176"/>
    <s v="KLEIN MATILDE"/>
    <n v="79"/>
    <n v="28125578"/>
    <s v="MELI RIOS"/>
    <s v="FX CADERA"/>
    <s v="PTC THOMPSON"/>
    <s v="VILLALBA "/>
    <s v="ACEPTADO"/>
    <s v="PARANÁ"/>
    <x v="1"/>
    <m/>
  </r>
  <r>
    <x v="176"/>
    <s v="SALCEDO KEVIN"/>
    <n v="30"/>
    <n v="38053306"/>
    <s v="GARCIA VITOR"/>
    <s v="LCA"/>
    <s v="T INTERF PLUMA DE RADIO BOTON AUTOAJ"/>
    <m/>
    <s v="ACEPTADO"/>
    <s v="VIALE"/>
    <x v="0"/>
    <m/>
  </r>
  <r>
    <x v="177"/>
    <s v="MARTINEZ MARIA"/>
    <n v="54"/>
    <n v="21912066"/>
    <s v="CASERES"/>
    <s v="FX TOBILLO"/>
    <s v="PLACA TERCIO TUBO"/>
    <s v="VILLALBA "/>
    <s v="ACEPTADO"/>
    <s v="PARANÁ"/>
    <x v="1"/>
    <m/>
  </r>
  <r>
    <x v="178"/>
    <s v="TABORDA ELSA"/>
    <n v="75"/>
    <m/>
    <s v="STOPELLO"/>
    <s v="GONARTROSIS"/>
    <s v="PTR"/>
    <s v="VILLLBA"/>
    <s v="ACEPTADO"/>
    <s v="PARANÁ"/>
    <x v="1"/>
    <m/>
  </r>
  <r>
    <x v="178"/>
    <s v="COLMAN ANIBAL"/>
    <n v="55"/>
    <n v="20553865"/>
    <s v="YACOMO"/>
    <s v="GONARTROSIS"/>
    <s v="PTC"/>
    <s v="VILLALBA "/>
    <s v="ACEPTADO"/>
    <s v="PARANÁ"/>
    <x v="1"/>
    <m/>
  </r>
  <r>
    <x v="179"/>
    <s v="OJEDA JOSUE"/>
    <n v="21"/>
    <n v="44701742"/>
    <s v="GARCIA VITOR"/>
    <s v="LCA"/>
    <s v="BOTON AUTOAJUSTABLE, TORNILLO PUNTA de radio frec inmobilizador"/>
    <m/>
    <s v="ACEPTADO"/>
    <s v="PARANÁ"/>
    <x v="0"/>
    <m/>
  </r>
  <r>
    <x v="180"/>
    <s v="SALAZAR GENOVEVA"/>
    <n v="88"/>
    <n v="2355207"/>
    <s v="CASERES"/>
    <s v="FX TOBILLO"/>
    <s v="T CANULADOS 3,5 "/>
    <s v="VILLALBA "/>
    <s v="ACEPTADO"/>
    <s v="PARANÁ"/>
    <x v="1"/>
    <m/>
  </r>
  <r>
    <x v="180"/>
    <s v="BREGANT ESTELA"/>
    <n v="71"/>
    <n v="6047770"/>
    <s v="CASERES"/>
    <s v="FX MUÑECA"/>
    <s v="PLACA VOLAR "/>
    <s v="VILLALBA "/>
    <s v="ACEPTADO"/>
    <s v="PARANÁ"/>
    <x v="1"/>
    <m/>
  </r>
  <r>
    <x v="181"/>
    <s v="PERINA GRACIELA"/>
    <n v="56"/>
    <n v="18071687"/>
    <s v="YACOMO"/>
    <s v="GONARTROSIS"/>
    <s v="PTR DERECHA"/>
    <m/>
    <s v="ACEPTADO"/>
    <s v="PARANÁ"/>
    <x v="0"/>
    <m/>
  </r>
  <r>
    <x v="182"/>
    <s v="DIAZ ESTELA"/>
    <n v="76"/>
    <n v="5579205"/>
    <s v="CASERES"/>
    <s v="FX CADERA"/>
    <s v="CLAVO GAMMA"/>
    <s v="VILLALBA"/>
    <s v="ACEPTADO"/>
    <s v="PARANÁ"/>
    <x v="1"/>
    <m/>
  </r>
  <r>
    <x v="182"/>
    <s v="FLORES BLANCA"/>
    <n v="80"/>
    <n v="4701395"/>
    <s v="CASERES"/>
    <s v="FX CADERA"/>
    <s v="PTC THOMPSON"/>
    <s v="VILLALBA"/>
    <s v="ACEPTADO"/>
    <s v="PARANÁ"/>
    <x v="1"/>
    <m/>
  </r>
  <r>
    <x v="182"/>
    <s v="MODENUTTI DEOLINDA"/>
    <n v="87"/>
    <n v="3782553"/>
    <s v="CASERES"/>
    <s v="FX CADERA"/>
    <s v="CLAVO GAMMA"/>
    <s v="VILLALBA"/>
    <s v="ACEPTADO"/>
    <s v="PARANÁ"/>
    <x v="1"/>
    <m/>
  </r>
  <r>
    <x v="183"/>
    <s v="PARRA MARIA"/>
    <n v="63"/>
    <n v="14021600"/>
    <s v="VENTURI"/>
    <s v="HALLUX VALGUS"/>
    <s v="PLACAS Y TORN PLAC HER"/>
    <s v="VILLALBA"/>
    <s v="ACEPTADO"/>
    <s v="PARANÁ"/>
    <x v="1"/>
    <m/>
  </r>
  <r>
    <x v="183"/>
    <s v="LELL ANITA"/>
    <n v="72"/>
    <n v="10197701"/>
    <s v="CATRIEL GODOY"/>
    <s v="FX HUMERO"/>
    <s v="PROTESIS DE  HOMBRO"/>
    <s v="VILLALBA"/>
    <s v="ACEPTADO"/>
    <s v="PARANÁ"/>
    <x v="1"/>
    <m/>
  </r>
  <r>
    <x v="183"/>
    <s v="GUZZONATO GERARDO"/>
    <m/>
    <n v="17192174"/>
    <s v="HERMIDA "/>
    <m/>
    <s v="ESPACIADOR"/>
    <s v="VILLALBA"/>
    <s v="ACEPTADO"/>
    <s v="NOGOYA"/>
    <x v="1"/>
    <m/>
  </r>
  <r>
    <x v="184"/>
    <s v="LOVERA ERSILIA"/>
    <n v="89"/>
    <n v="3245108"/>
    <s v="GARCIA VITOR"/>
    <s v="GENUVARO ART"/>
    <s v="PTR BISAGRA ROTATORIA"/>
    <s v="VILLALBA"/>
    <s v="ACEPTADO"/>
    <s v="PARANÁ"/>
    <x v="1"/>
    <m/>
  </r>
  <r>
    <x v="184"/>
    <s v="OTTO  HECTOR"/>
    <n v="56"/>
    <n v="18457842"/>
    <s v="STOPELLO"/>
    <s v="GONARTROSIS"/>
    <s v="PTR"/>
    <m/>
    <s v="ACEPTADO"/>
    <s v="PARANÁ"/>
    <x v="0"/>
    <m/>
  </r>
  <r>
    <x v="184"/>
    <s v="SANABRIA MATIAS"/>
    <n v="33"/>
    <n v="35442442"/>
    <s v="VENTURI"/>
    <s v="INESTABILIDAD DE H"/>
    <s v=" TORNILLOS CANULADOS "/>
    <m/>
    <s v="ACEPTADO"/>
    <s v="PARANÁ"/>
    <x v="0"/>
    <m/>
  </r>
  <r>
    <x v="184"/>
    <s v="SANABRIA MATIAS"/>
    <n v="33"/>
    <n v="35442442"/>
    <s v="VENTURI"/>
    <s v="INESTABILIDAD DE H"/>
    <s v=" ARPONES"/>
    <m/>
    <s v="ACEPTADO"/>
    <s v="PARANÁ"/>
    <x v="0"/>
    <m/>
  </r>
  <r>
    <x v="185"/>
    <s v="ALDECOA NORMA"/>
    <m/>
    <n v="14724231"/>
    <s v="URANGA "/>
    <s v="ARTROSIS DE COLUMNA"/>
    <m/>
    <s v="VILLALBA"/>
    <s v="ACEPTADO"/>
    <s v="VILLAGUAY"/>
    <x v="1"/>
    <m/>
  </r>
  <r>
    <x v="185"/>
    <s v="LUCEY  WALTER"/>
    <n v="49"/>
    <n v="27337992"/>
    <s v="CASERES"/>
    <s v="FX CADERA"/>
    <s v="CLAVO GAMMA"/>
    <s v="VILLALBA"/>
    <s v="ACEPTADO"/>
    <s v="PARANÁ"/>
    <x v="1"/>
    <m/>
  </r>
  <r>
    <x v="186"/>
    <s v="MODENUTTI CELSO"/>
    <n v="79"/>
    <n v="5950799"/>
    <s v="STOPELLO"/>
    <s v="GONARTROSIS"/>
    <s v="PTR "/>
    <s v="VILLALBA"/>
    <s v="ACEPTADO"/>
    <s v="PARANÁ"/>
    <x v="1"/>
    <m/>
  </r>
  <r>
    <x v="186"/>
    <s v="FLORES JOSE"/>
    <n v="67"/>
    <n v="13043937"/>
    <s v="YACOMO"/>
    <s v="GONARTROSIS"/>
    <s v="PTR"/>
    <s v="VILLALBA"/>
    <s v="ACEPTADO"/>
    <s v="PARANÁ"/>
    <x v="1"/>
    <m/>
  </r>
  <r>
    <x v="186"/>
    <s v="NUÑEZ ROSALINDA"/>
    <n v="74"/>
    <n v="6211411"/>
    <s v="SUKSDORF"/>
    <s v="FX TOBILLO"/>
    <s v="TORNILLOS MODULARES"/>
    <s v="VILLALBA"/>
    <s v="ACEPTADO"/>
    <s v="PARANÁ"/>
    <x v="1"/>
    <m/>
  </r>
  <r>
    <x v="187"/>
    <s v="GAREIS MIGUEL"/>
    <n v="72"/>
    <n v="10070019"/>
    <s v="CESAR MEYNET"/>
    <s v="GENUVALGO"/>
    <s v="PTR"/>
    <s v="VILLALBA"/>
    <s v="ACEPTADO"/>
    <s v="PARANÁ"/>
    <x v="1"/>
    <m/>
  </r>
  <r>
    <x v="187"/>
    <s v="COMAR NELSON"/>
    <n v="89"/>
    <m/>
    <s v="COLLOMB"/>
    <s v="FX CADERA"/>
    <s v="CLAVO GAMMA"/>
    <m/>
    <s v="ACEPTADO"/>
    <s v="PARANÁ"/>
    <x v="1"/>
    <m/>
  </r>
  <r>
    <x v="187"/>
    <s v="GAREIS TERESA"/>
    <n v="75"/>
    <n v="5942503"/>
    <s v="SUKSDORF"/>
    <s v="GONARTROSIS"/>
    <s v="PTR PRIMARIA ANDROMICA"/>
    <s v="VILLALBA"/>
    <s v="ACEPTADO"/>
    <s v="DIAMANTE"/>
    <x v="1"/>
    <m/>
  </r>
  <r>
    <x v="188"/>
    <s v="FRANCO ALICIA"/>
    <n v="96"/>
    <n v="5057262"/>
    <s v="CASERES"/>
    <s v="FX CADERA"/>
    <s v="CLAVO GAMMA"/>
    <s v="VILLALBA"/>
    <s v="ACEPTADO"/>
    <s v="PARANÁ"/>
    <x v="1"/>
    <m/>
  </r>
  <r>
    <x v="188"/>
    <s v="ROCCOSALVO NOEMI"/>
    <n v="83"/>
    <n v="8589604"/>
    <s v="CASERES"/>
    <s v="FX CADERA"/>
    <s v="CLAVO GAMMA"/>
    <m/>
    <s v="ACEPTADO"/>
    <s v="PARANÁ"/>
    <x v="1"/>
    <m/>
  </r>
  <r>
    <x v="188"/>
    <s v="CAPURRO HILDA"/>
    <n v="68"/>
    <n v="11540672"/>
    <s v="JACOB"/>
    <s v="ESPONDIOLISTESIS"/>
    <s v="  SIST DE FIJACION LUMBAR"/>
    <m/>
    <s v="ACEPTADO"/>
    <s v="PARANÁ"/>
    <x v="1"/>
    <m/>
  </r>
  <r>
    <x v="188"/>
    <s v="CASTRO ANA"/>
    <n v="88"/>
    <n v="2814059"/>
    <s v="CASERES"/>
    <s v="FX CADERA"/>
    <s v="CLAVO GAMMA"/>
    <m/>
    <s v="ACEPTADO"/>
    <s v="PARANÁ"/>
    <x v="1"/>
    <m/>
  </r>
  <r>
    <x v="189"/>
    <s v="AGUIAR ELDA"/>
    <n v="84"/>
    <n v="3548374"/>
    <s v="CASERES"/>
    <s v="FX DE CADERA"/>
    <s v="P PARCIAL DE CAD BIPOLAR"/>
    <m/>
    <s v="ACEPTADO"/>
    <s v="PARANÁ"/>
    <x v="1"/>
    <m/>
  </r>
  <r>
    <x v="190"/>
    <s v="RAMIREZ SUSANA"/>
    <n v="57"/>
    <n v="17704879"/>
    <s v="JACOB"/>
    <s v="ESTENOSIS"/>
    <s v="4 TORNILLOSPEDICULARES 1 CAGE 2 BARRAS 1 DOSIS DE SUSTITUTO"/>
    <m/>
    <s v="ACEPTADO"/>
    <s v="COLONIA AVE"/>
    <x v="0"/>
    <m/>
  </r>
  <r>
    <x v="191"/>
    <s v="CABRERA EXEQUIEL"/>
    <n v="41"/>
    <n v="29515425"/>
    <s v="YACOMO"/>
    <s v="PSEUDOARTROSIS DE TIBIA"/>
    <m/>
    <s v="6 SCHANZ 4 BARRAS DE TUTOR 6 ROTULAS 4 ROT. TUBO IGERTO C"/>
    <s v="ACEPTADO"/>
    <m/>
    <x v="0"/>
    <m/>
  </r>
  <r>
    <x v="192"/>
    <s v="ANTUNES MIRTHA"/>
    <n v="68"/>
    <n v="92356158"/>
    <s v="THEAUX"/>
    <s v="HALLUX VALGUS"/>
    <s v="PLACAS Y TORNILLOS 2 T HERBERT 2 CLAVIJA"/>
    <m/>
    <s v="ACEPTADO"/>
    <s v="PARANÁ"/>
    <x v="1"/>
    <m/>
  </r>
  <r>
    <x v="192"/>
    <s v="VAZQUEZ MIGUEL"/>
    <n v="61"/>
    <n v="14718685"/>
    <s v="STOPELLO"/>
    <s v="GONARTROSIS"/>
    <s v="PTR DERECHA"/>
    <s v="VILLALBA"/>
    <s v="ACEPTADO"/>
    <s v="PARANÁ"/>
    <x v="1"/>
    <m/>
  </r>
  <r>
    <x v="192"/>
    <s v="SEINECKER MIRTA"/>
    <n v="74"/>
    <n v="6272523"/>
    <s v="GARCIA VITOR"/>
    <s v="GENU VARU"/>
    <s v="PTR"/>
    <m/>
    <s v="ACEPTADO"/>
    <s v="PARANÁ"/>
    <x v="1"/>
    <m/>
  </r>
  <r>
    <x v="192"/>
    <s v="FARIAS CANDIDO"/>
    <n v="68"/>
    <n v="11854793"/>
    <s v="CATRIEL GODOY"/>
    <s v="SIND MANG ROT"/>
    <s v="2 ARPONES 2,5"/>
    <s v="VILLALBA"/>
    <s v="ACEPTADO"/>
    <s v="PARANÁ"/>
    <x v="1"/>
    <m/>
  </r>
  <r>
    <x v="192"/>
    <s v="GONZALEZ ELISA"/>
    <n v="68"/>
    <n v="3807523"/>
    <s v="SUKSDORF"/>
    <s v="FX CADERA"/>
    <s v="PTC BIPOLAR- PTC CEMENTADA"/>
    <m/>
    <s v="ACEPTADO"/>
    <s v="PARANÁ"/>
    <x v="1"/>
    <m/>
  </r>
  <r>
    <x v="192"/>
    <s v="BRONDANI NELIDA"/>
    <n v="77"/>
    <n v="5466735"/>
    <s v="STOPELLO"/>
    <s v="COXARTROSIS"/>
    <s v="PTC PRIMARIA DERECHA"/>
    <s v="VILLALBA"/>
    <s v="ACEPTADO"/>
    <s v="PARANÁ"/>
    <x v="1"/>
    <m/>
  </r>
  <r>
    <x v="192"/>
    <s v="PRINCICH ELADIA"/>
    <n v="76"/>
    <n v="5466774"/>
    <s v="CASERES"/>
    <s v="FX CADERA D"/>
    <s v="PTC COTILO DOBLE M    "/>
    <m/>
    <s v="ACEPTADO"/>
    <s v="PARANÁ"/>
    <x v="1"/>
    <m/>
  </r>
  <r>
    <x v="193"/>
    <s v="RUIZ DIAZ DIONISIO"/>
    <n v="66"/>
    <n v="13270926"/>
    <s v="GARCIA VITOR"/>
    <m/>
    <s v="PTR CON CUÑAS Y V DE REV"/>
    <m/>
    <s v="ACEPTADO"/>
    <s v="SAN SALVADOR"/>
    <x v="1"/>
    <m/>
  </r>
  <r>
    <x v="193"/>
    <s v="FLORES PEDRO "/>
    <n v="66"/>
    <n v="11949561"/>
    <s v="GARCIA VITOR"/>
    <s v="ART RODILLA IZQ"/>
    <s v="PTR IZQUIERDA"/>
    <m/>
    <s v="ACEPTADO"/>
    <s v="VICTORIA"/>
    <x v="1"/>
    <m/>
  </r>
  <r>
    <x v="193"/>
    <s v="BELCH MARIA "/>
    <n v="72"/>
    <n v="6548369"/>
    <s v="GARCIA VITOR"/>
    <s v="COXARTROSIS"/>
    <s v="PTC DOBLE MOVILIDAD"/>
    <m/>
    <s v="ACEPTADO"/>
    <s v="MARIA GRANDE "/>
    <x v="1"/>
    <m/>
  </r>
  <r>
    <x v="194"/>
    <s v="FERREYRA BRIGIDA"/>
    <n v="77"/>
    <n v="5599560"/>
    <s v="URANGA "/>
    <s v="ESPONDIOLISTESIS"/>
    <s v="SIST DE FIJACION LUMBO S"/>
    <m/>
    <s v="ACEPTADO"/>
    <s v="PARANÁ"/>
    <x v="1"/>
    <m/>
  </r>
  <r>
    <x v="195"/>
    <s v="URRUTIA LUIS"/>
    <n v="64"/>
    <n v="13288351"/>
    <s v="CESAR MEYNET"/>
    <s v="COXARTROSIS"/>
    <s v="PTCCOTILO MULTIPERFOR"/>
    <m/>
    <s v="ACEPTADO"/>
    <s v="HERNANDARIAS "/>
    <x v="0"/>
    <m/>
  </r>
  <r>
    <x v="195"/>
    <s v="SAUCEDO PETRONA"/>
    <n v="68"/>
    <n v="12729791"/>
    <s v="CESAR MEYNET"/>
    <s v="COXARTROSIS"/>
    <s v="ESPACIADOR"/>
    <s v="VILLALBA"/>
    <s v="ACEPTADO"/>
    <s v="PARANÁ"/>
    <x v="1"/>
    <m/>
  </r>
  <r>
    <x v="195"/>
    <s v="SOSA CLAUDIA"/>
    <n v="69"/>
    <n v="11071692"/>
    <s v="CESAR MEYNET"/>
    <s v="GENUVARO"/>
    <s v="PTR"/>
    <m/>
    <s v="ACEPTADO"/>
    <s v="PARANÁ"/>
    <x v="1"/>
    <m/>
  </r>
  <r>
    <x v="195"/>
    <s v="VELAZQUEZ RICARDO"/>
    <n v="66"/>
    <m/>
    <s v="URANGA "/>
    <s v="FX DE CADERA"/>
    <s v="PTC COTILO DOBLE M"/>
    <m/>
    <s v="ACEPTADO"/>
    <s v="PARANÁ"/>
    <x v="1"/>
    <m/>
  </r>
  <r>
    <x v="196"/>
    <s v="TORRES NICOLAS "/>
    <m/>
    <n v="11200869"/>
    <s v="GARCIA VITOR"/>
    <s v="OSTEOATRITIS C"/>
    <s v="PTC HIBRIDA"/>
    <m/>
    <s v="ACEPTADO"/>
    <s v="SAN BENITO"/>
    <x v="1"/>
    <m/>
  </r>
  <r>
    <x v="196"/>
    <s v="HEINZE MARIO"/>
    <n v="75"/>
    <n v="7622108"/>
    <s v="YACOMO"/>
    <s v="GENUVARO"/>
    <s v="PTR IZQUIERDA"/>
    <s v="VILLALBA"/>
    <s v="ACEPTADO"/>
    <s v="VIALE"/>
    <x v="1"/>
    <m/>
  </r>
  <r>
    <x v="196"/>
    <s v="PLEZ SILVIA"/>
    <n v="72"/>
    <n v="10074660"/>
    <s v="STOPELLO"/>
    <s v="COXARTROSIS"/>
    <s v="PTC CEMENTADA"/>
    <s v="VILLALBA"/>
    <s v="ACEPTADO"/>
    <s v="SAN BENITO"/>
    <x v="1"/>
    <m/>
  </r>
  <r>
    <x v="196"/>
    <s v="MANZANO EDUARDO"/>
    <n v="68"/>
    <n v="11702061"/>
    <s v="THEAUX"/>
    <s v="FX DE T Y P"/>
    <s v="PERNOS DE BLOQUEO "/>
    <m/>
    <s v="ACEPTADO"/>
    <s v="PARANÁ"/>
    <x v="1"/>
    <m/>
  </r>
  <r>
    <x v="196"/>
    <s v="PRESENTADO ISAIAS"/>
    <m/>
    <n v="34204491"/>
    <s v="VENTURI"/>
    <s v="PSEUDOARTROSIS   DE RADIO"/>
    <s v=" TORN CAN PLACA DCP CLAVIJA "/>
    <m/>
    <s v="ACEPTADO"/>
    <s v="PARANÁ"/>
    <x v="0"/>
    <m/>
  </r>
  <r>
    <x v="197"/>
    <s v="SASIA MARIA DEL ROSARIO"/>
    <n v="66"/>
    <n v="13051400"/>
    <s v="UCEDO"/>
    <s v="HALLUX V"/>
    <m/>
    <m/>
    <s v="ACEPTADO"/>
    <s v="PARANÁ"/>
    <x v="1"/>
    <m/>
  </r>
  <r>
    <x v="198"/>
    <s v="GAREIS LUIS"/>
    <n v="74"/>
    <n v="7705131"/>
    <s v="GARCIA VITOR"/>
    <s v="GENUVALGO"/>
    <s v="PTR"/>
    <s v="VILLALBA"/>
    <s v="ACEPTADO"/>
    <s v="PARANÁ"/>
    <x v="1"/>
    <m/>
  </r>
  <r>
    <x v="198"/>
    <s v="ENRIQUEZ ELVA"/>
    <n v="86"/>
    <n v="2811547"/>
    <s v="COLLOMB"/>
    <s v="FX CADERA"/>
    <s v="PTC COTILO DOBLE M"/>
    <s v="VILLALBA"/>
    <s v="ACEPTADO"/>
    <s v="PARANÁ"/>
    <x v="1"/>
    <m/>
  </r>
  <r>
    <x v="198"/>
    <s v="FARIAS CARMEN"/>
    <n v="66"/>
    <n v="13694493"/>
    <s v="COLLOMB"/>
    <s v="FX MUÑECA"/>
    <s v="PLACA EDR DOBLE H DISTAL"/>
    <m/>
    <s v="ACEPTADO"/>
    <s v="PARANÁ"/>
    <x v="1"/>
    <m/>
  </r>
  <r>
    <x v="198"/>
    <s v="RIOS MATIAS"/>
    <n v="24"/>
    <n v="42464328"/>
    <s v="CASERES"/>
    <s v="AMPUTACION INFRA"/>
    <s v="PILON PROTESIS MI "/>
    <m/>
    <s v="ACEPTADO"/>
    <s v="BOVRIL"/>
    <x v="0"/>
    <m/>
  </r>
  <r>
    <x v="199"/>
    <s v="PESOA STELLA MARIS"/>
    <n v="61"/>
    <n v="16048499"/>
    <s v="CASERES"/>
    <s v="FX TOBILLO"/>
    <s v="T CANULADOS PLAC TTUBO"/>
    <m/>
    <s v="ACEPTADO"/>
    <s v="PARANÁ"/>
    <x v="1"/>
    <m/>
  </r>
  <r>
    <x v="199"/>
    <s v="SAUCEDO PETRONA"/>
    <n v="67"/>
    <n v="12729791"/>
    <s v="UCEDO"/>
    <s v="INFE DE SITIO Q DE CADERA"/>
    <m/>
    <m/>
    <s v="ACEPTADO"/>
    <s v="PARANÁ"/>
    <x v="1"/>
    <m/>
  </r>
  <r>
    <x v="199"/>
    <s v="POHL HUGO"/>
    <n v="74"/>
    <n v="7705542"/>
    <s v="CASERES"/>
    <s v="FX CADERA"/>
    <s v="CLAVO GAMMA"/>
    <s v="VILLALBA"/>
    <s v="ACEPTADO"/>
    <s v="PARANÁ"/>
    <x v="1"/>
    <m/>
  </r>
  <r>
    <x v="199"/>
    <s v="REYES RAQUEL"/>
    <n v="61"/>
    <n v="14718655"/>
    <s v="CASERES"/>
    <s v="FX CADERA"/>
    <s v="CLAVO GAMMA"/>
    <m/>
    <s v="ACEPTADO"/>
    <s v="PARANÁ"/>
    <x v="1"/>
    <m/>
  </r>
  <r>
    <x v="200"/>
    <s v="DE LORENZO LUISA"/>
    <n v="89"/>
    <n v="2348200"/>
    <s v="COLLOMB"/>
    <s v="FX CADERA"/>
    <s v="P THOMPSON"/>
    <s v="VILLALBA"/>
    <s v="ACEPTADO"/>
    <s v="PARANÁ"/>
    <x v="1"/>
    <m/>
  </r>
  <r>
    <x v="200"/>
    <s v="ESPINOSA FANNY"/>
    <n v="84"/>
    <n v="3892577"/>
    <s v="COLLOMB"/>
    <s v="FX FEMUR"/>
    <s v="C ENDOMEDULAR "/>
    <s v="VILLALBA"/>
    <s v="ACEPTADO"/>
    <s v="PARANÁ"/>
    <x v="1"/>
    <m/>
  </r>
  <r>
    <x v="201"/>
    <s v="HOLOTTE FABIANA"/>
    <n v="56"/>
    <n v="18243782"/>
    <s v="CATRIEL GODOY"/>
    <s v="GONARTROSIS"/>
    <s v="PTR "/>
    <m/>
    <s v="ACEPTADO"/>
    <s v="PARANÁ"/>
    <x v="0"/>
    <m/>
  </r>
  <r>
    <x v="201"/>
    <s v="MAYDANA MARIA ELISA"/>
    <n v="63"/>
    <n v="14357165"/>
    <s v="THEAUX"/>
    <s v="GONARTROSIS"/>
    <s v="PTR CON VASTAGOS"/>
    <m/>
    <s v="ACEPTADO"/>
    <s v="PARANÁ"/>
    <x v="1"/>
    <m/>
  </r>
  <r>
    <x v="201"/>
    <s v="RODRIGUEZ PETRONA"/>
    <n v="85"/>
    <n v="3781337"/>
    <s v="CASERES"/>
    <s v="FX TOBILLO"/>
    <s v="T CANULADOS PLAC TTUBO"/>
    <m/>
    <s v="ACEPTADO"/>
    <s v="PARANÁ"/>
    <x v="1"/>
    <m/>
  </r>
  <r>
    <x v="202"/>
    <s v="MASCAZZINI AXEL"/>
    <n v="23"/>
    <n v="43349789"/>
    <s v="SUKSDORF"/>
    <s v="PSEUDOARTROSIS   DE FEMUR"/>
    <s v="SET PLACA CONDILEA PLACA DCP INJERTO OSEO 3 TABLAS OSEAS"/>
    <m/>
    <s v="ACEPTADO"/>
    <s v="PARANÁ"/>
    <x v="0"/>
    <m/>
  </r>
  <r>
    <x v="203"/>
    <s v="RODRIGUEZ PETRONA"/>
    <n v="85"/>
    <n v="3781337"/>
    <s v="CASERES"/>
    <s v="FX DE TOBILLO"/>
    <s v="T CANULADOS PLAC TTUBO"/>
    <s v="VILLALBA"/>
    <s v="ACEPTADO"/>
    <s v="PARANÁ"/>
    <x v="1"/>
    <m/>
  </r>
  <r>
    <x v="203"/>
    <s v="IEDRO BEATRIZ"/>
    <n v="79"/>
    <n v="4583846"/>
    <s v="STOPELLO"/>
    <s v="COXARTROSIS"/>
    <s v="PTC DOB MOV CLAVO DHS"/>
    <s v="VILLALBA"/>
    <s v="ACEPTADO"/>
    <s v="PARANÁ"/>
    <x v="1"/>
    <m/>
  </r>
  <r>
    <x v="204"/>
    <s v="Godoy Herman Ludmila"/>
    <n v="21"/>
    <m/>
    <s v="GARCIA VITOR"/>
    <s v="artrodesis de rodilla"/>
    <s v="tutortubular ao"/>
    <m/>
    <s v="ACEPTADO"/>
    <s v="PARANÁ"/>
    <x v="0"/>
    <m/>
  </r>
  <r>
    <x v="204"/>
    <s v="GUERRERO RICARDO"/>
    <n v="59"/>
    <n v="17277810"/>
    <s v="GARCIA VITOR"/>
    <s v="GONARTROSIS"/>
    <s v="PTR"/>
    <s v="IP MAGNA"/>
    <s v="ACEPTADO"/>
    <s v="PARANÁ"/>
    <x v="1"/>
    <m/>
  </r>
  <r>
    <x v="204"/>
    <s v="PEREYRA OTILIA"/>
    <n v="83"/>
    <n v="3939755"/>
    <s v="CASERES"/>
    <s v="FX CADERA"/>
    <s v="P THOMPSON"/>
    <s v="VILLALBA"/>
    <s v="ACEPTADO"/>
    <s v="PARANÁ"/>
    <x v="1"/>
    <m/>
  </r>
  <r>
    <x v="204"/>
    <s v="SCHECHTEL RICARDO"/>
    <n v="70"/>
    <n v="11107197"/>
    <m/>
    <s v="GONARTROSIS"/>
    <s v="PTR"/>
    <s v="IP MAGNA"/>
    <s v="ACEPTADO"/>
    <s v="PARANÁ"/>
    <x v="1"/>
    <m/>
  </r>
  <r>
    <x v="204"/>
    <s v="VIOLA IRIS"/>
    <n v="69"/>
    <n v="11107387"/>
    <s v="UCEDO"/>
    <s v="HALLUX V"/>
    <s v="T BAR CAN 3,0 MOTOR DOS CLAV 2 MM Y 2 DE 1,5 MM"/>
    <m/>
    <s v="ACEPTADO"/>
    <s v="PARANÁ"/>
    <x v="1"/>
    <m/>
  </r>
  <r>
    <x v="204"/>
    <s v="JACOB OMAR"/>
    <n v="70"/>
    <n v="5097790"/>
    <s v="STOPELLO"/>
    <s v="COXARTROSIS"/>
    <s v="ESPACIADOR"/>
    <s v="VILLALBA"/>
    <s v="ACEPTADO"/>
    <s v="PARANÁ"/>
    <x v="1"/>
    <m/>
  </r>
  <r>
    <x v="205"/>
    <s v="BREGAND TERESITA"/>
    <n v="85"/>
    <n v="3201187"/>
    <s v="CASERES"/>
    <s v="FX TOBILLO"/>
    <s v="T CANU 3,5 4,0 4,5 PLCA TTU"/>
    <s v="VILLALBA"/>
    <s v="ACEPTADO"/>
    <s v="PARANÁ"/>
    <x v="1"/>
    <m/>
  </r>
  <r>
    <x v="205"/>
    <s v="GOMEZ AMALIA"/>
    <n v="54"/>
    <n v="21530592"/>
    <s v="SUKSDORF"/>
    <s v="COXARTROSIS"/>
    <s v="PTC NO CEMENTADA CAB 32 Y 36"/>
    <m/>
    <s v="ACEPTADO"/>
    <s v="PARANÁ"/>
    <x v="1"/>
    <m/>
  </r>
  <r>
    <x v="205"/>
    <s v="FONTANA CARLOS"/>
    <n v="65"/>
    <n v="12568692"/>
    <s v="GARCIA VITOR"/>
    <s v="LCA"/>
    <s v="BOTON A T T ROSCA ROMA"/>
    <m/>
    <s v="ACEPTADO"/>
    <s v="PARANÁ"/>
    <x v="1"/>
    <m/>
  </r>
  <r>
    <x v="205"/>
    <s v="PEREYRA JULIO"/>
    <n v="76"/>
    <n v="8440395"/>
    <s v="GARCIA VITOR"/>
    <s v="COXARTROSIS"/>
    <s v="PTC D DOBLE MOVILIDAD"/>
    <s v="VILLALBA"/>
    <s v="ACEPTADO"/>
    <s v="BOVRIL"/>
    <x v="1"/>
    <m/>
  </r>
  <r>
    <x v="206"/>
    <s v="GOMEZ MATEO"/>
    <n v="15"/>
    <n v="49439662"/>
    <s v="PELEGRINI"/>
    <s v="GENU VALGO"/>
    <s v="PLACA PUDDU"/>
    <m/>
    <s v="ACEPTADO"/>
    <s v="GUALEGUAY"/>
    <x v="0"/>
    <m/>
  </r>
  <r>
    <x v="207"/>
    <s v="BEZERRA RICARDO"/>
    <n v="73"/>
    <n v="8356066"/>
    <s v="THEAUX"/>
    <s v="GONARTROSIS"/>
    <s v="PTR CON VASTAGO TIBIAL"/>
    <s v="VILLALBA"/>
    <s v="ACEPTADO"/>
    <s v="PARANÁ"/>
    <x v="1"/>
    <m/>
  </r>
  <r>
    <x v="207"/>
    <s v="SCHMIDT JOSE"/>
    <n v="77"/>
    <n v="8450061"/>
    <s v="STOPELLO"/>
    <s v="GONARTROSIS"/>
    <s v="PTR DERECHA"/>
    <s v="VILLALBA"/>
    <s v="ACEPTADO"/>
    <s v="PARANÁ"/>
    <x v="1"/>
    <m/>
  </r>
  <r>
    <x v="207"/>
    <s v="DIAZ ESTELA"/>
    <n v="76"/>
    <n v="5579205"/>
    <s v="UCEDO"/>
    <s v="FX CADERA"/>
    <s v="DESTORNILLADOR"/>
    <m/>
    <s v="ACEPTADO"/>
    <s v="PARANÁ"/>
    <x v="1"/>
    <m/>
  </r>
  <r>
    <x v="207"/>
    <s v="SANTUCHI MIRTA"/>
    <n v="74"/>
    <m/>
    <s v="NARVAEZ"/>
    <s v="FX PERIPROTESICA"/>
    <m/>
    <m/>
    <s v="ACEPTADO"/>
    <s v="SANTA ELENA "/>
    <x v="1"/>
    <m/>
  </r>
  <r>
    <x v="207"/>
    <s v="JACOB OMAR"/>
    <m/>
    <n v="11107197"/>
    <s v="STOPELLO"/>
    <s v="COXARTROSIS"/>
    <s v="4D DE CEMENTO ESPACIADOR"/>
    <m/>
    <s v="ACEPTADO"/>
    <s v="PARANÁ"/>
    <x v="1"/>
    <m/>
  </r>
  <r>
    <x v="208"/>
    <s v="NAIVIAT JORGE"/>
    <n v="68"/>
    <n v="12362739"/>
    <s v="COLLOMB"/>
    <s v="FX PELVIS"/>
    <s v="5PLACAS TOR CORTIC CANULADOS"/>
    <m/>
    <s v="ACEPTADO"/>
    <s v="PARANÁ"/>
    <x v="1"/>
    <m/>
  </r>
  <r>
    <x v="209"/>
    <s v="ZABALEGUI JOSE MARIA"/>
    <n v="70"/>
    <n v="11071084"/>
    <s v="UCEDO"/>
    <s v="PIE PLANO"/>
    <s v="2 T CANULADOS 4,5 MM"/>
    <s v="VILLALBA"/>
    <s v="ACEPTADO"/>
    <s v="PARANÁ"/>
    <x v="1"/>
    <m/>
  </r>
  <r>
    <x v="209"/>
    <s v="GARCIA RUBEN"/>
    <n v="47"/>
    <n v="25546254"/>
    <s v="STOPELLO"/>
    <s v="LCA"/>
    <s v="1 B FEMORAL 1 T INTERFERENCIAL"/>
    <m/>
    <s v="ACEPTADO"/>
    <s v="PARANÁ"/>
    <x v="0"/>
    <m/>
  </r>
  <r>
    <x v="209"/>
    <s v="VERGARA CARINA"/>
    <n v="50"/>
    <n v="23264985"/>
    <s v="UCEDO"/>
    <s v="DESGASTE DE MATERIAL PROTESICO"/>
    <s v="CAMBIO DE CONO PARA PR"/>
    <m/>
    <s v="ACEPTADO"/>
    <s v="PARANÁ"/>
    <x v="0"/>
    <m/>
  </r>
  <r>
    <x v="209"/>
    <s v="EMERI NESTOR"/>
    <n v="60"/>
    <n v="17044970"/>
    <s v="SUKSDORF"/>
    <s v="GONALGIA"/>
    <s v="PTR"/>
    <m/>
    <s v="ACEPTADO"/>
    <s v="PARANÁ"/>
    <x v="0"/>
    <m/>
  </r>
  <r>
    <x v="209"/>
    <s v="PAPINI AMABILA"/>
    <n v="85"/>
    <n v="3688641"/>
    <s v="UCEDO"/>
    <s v="FX CADERA"/>
    <s v="CLAVO GAMMA"/>
    <s v="VILLALBA"/>
    <s v="ACEPTADO"/>
    <s v="SANTA ELENA "/>
    <x v="1"/>
    <m/>
  </r>
  <r>
    <x v="209"/>
    <s v="CABRERA MAGDALENA"/>
    <n v="70"/>
    <n v="10824211"/>
    <s v="GARCIA VITOR"/>
    <s v="GENU VARO"/>
    <s v="PTR NACIONAL"/>
    <s v="VILLALBA"/>
    <s v="ACEPTADO"/>
    <s v="PARANÁ"/>
    <x v="1"/>
    <m/>
  </r>
  <r>
    <x v="210"/>
    <s v="CARBONI LUCIA "/>
    <m/>
    <n v="44282632"/>
    <s v="STOPELLO"/>
    <s v="LCA"/>
    <s v="1 BOTON 1 TORNILLO I"/>
    <m/>
    <s v="ACEPTADO"/>
    <s v="VICTORIA"/>
    <x v="0"/>
    <m/>
  </r>
  <r>
    <x v="210"/>
    <s v="RUIZ NATALIA"/>
    <n v="32"/>
    <n v="32789011"/>
    <s v="STOPELLO"/>
    <s v="LCA"/>
    <s v="1 BOTON 1 TORNILLO I"/>
    <m/>
    <s v="ACEPTADO"/>
    <s v="MACIA"/>
    <x v="0"/>
    <m/>
  </r>
  <r>
    <x v="210"/>
    <s v="WELSCH MARTA"/>
    <n v="79"/>
    <n v="4857158"/>
    <s v="SUKSDORF"/>
    <s v="COXARTROSIS"/>
    <s v="PTC COTILO D MOV"/>
    <m/>
    <s v="ACEPTADO"/>
    <s v="PARANÁ"/>
    <x v="1"/>
    <m/>
  </r>
  <r>
    <x v="211"/>
    <n v="0"/>
    <n v="45"/>
    <n v="27428126"/>
    <s v="PELEGRINI"/>
    <s v="LCA"/>
    <s v="1 BOTON 1 TORNILLO 1 INMOV"/>
    <m/>
    <s v="ACEPTADO"/>
    <s v="DIAMANTE"/>
    <x v="0"/>
    <m/>
  </r>
  <r>
    <x v="212"/>
    <s v="ESCOUBOUE VICTOR"/>
    <n v="44"/>
    <n v="27987285"/>
    <s v="CATRIEL GODOY"/>
    <s v="FX HUMERO"/>
    <s v="1 PLACA BLOQUEADA"/>
    <m/>
    <s v="ACEPTADO"/>
    <s v="PARANÁ"/>
    <x v="0"/>
    <m/>
  </r>
  <r>
    <x v="212"/>
    <s v="BAST OLGA LAURA"/>
    <n v="72"/>
    <n v="10340979"/>
    <s v="VENTURI"/>
    <s v="FX HUMERO"/>
    <s v="1 PLACA PHILO"/>
    <s v="VILLALBA"/>
    <s v="ACEPTADO"/>
    <s v="DIAMANTE"/>
    <x v="1"/>
    <m/>
  </r>
  <r>
    <x v="213"/>
    <s v="GIUSTI MARIA"/>
    <n v="71"/>
    <n v="10824357"/>
    <s v="VENTURI"/>
    <s v="FX "/>
    <s v="SET DE VERTEBROPLASTIA"/>
    <s v="VILLALBA"/>
    <s v="ACEPTADO"/>
    <s v="PARANÁ"/>
    <x v="1"/>
    <m/>
  </r>
  <r>
    <x v="213"/>
    <s v="GUTIERREZ BASILIO"/>
    <n v="65"/>
    <n v="14196542"/>
    <s v="SUKSDORF"/>
    <s v="GONARTROSIS"/>
    <s v="PTR ANDROMICA"/>
    <m/>
    <s v="ACEPTADO"/>
    <s v="PARANÁ"/>
    <x v="1"/>
    <m/>
  </r>
  <r>
    <x v="213"/>
    <s v="JUMILLA MARIA"/>
    <n v="68"/>
    <n v="11536220"/>
    <s v="URANGA "/>
    <s v="FX CADERA"/>
    <s v="PTC +COTILO D MOV"/>
    <m/>
    <s v="ACEPTADO"/>
    <s v="PARANÁ"/>
    <x v="1"/>
    <m/>
  </r>
  <r>
    <x v="213"/>
    <s v="BLANCO LIDIA"/>
    <n v="72"/>
    <n v="10499784"/>
    <s v="PELEGRINI"/>
    <s v="COXARTROSIS"/>
    <s v="PTC CEMENTADA"/>
    <m/>
    <s v="ACEPTADO"/>
    <s v="PARANÁ"/>
    <x v="1"/>
    <m/>
  </r>
  <r>
    <x v="214"/>
    <s v="VERON RAMON"/>
    <n v="36"/>
    <n v="33271304"/>
    <s v="GARCIA VITOR"/>
    <s v="LESION DE TENDON R"/>
    <s v="2 ARPONES DE PEEK 3,5 1 TORNILLO 2 ARPONES DE 3,5-5"/>
    <m/>
    <s v="ACEPTADO"/>
    <s v="PARANÁ"/>
    <x v="0"/>
    <m/>
  </r>
  <r>
    <x v="214"/>
    <s v="PIANI ANDRES"/>
    <n v="49"/>
    <n v="24264939"/>
    <s v="CESAR MEYNET"/>
    <s v="COXARTROSIS"/>
    <s v="PTC 1 COTILO TRABECULADO TALLO CEMENTADO"/>
    <m/>
    <s v="ACEPTADO"/>
    <s v="PARANÁ"/>
    <x v="0"/>
    <m/>
  </r>
  <r>
    <x v="214"/>
    <s v="WILHELM IRMA"/>
    <n v="85"/>
    <n v="3634678"/>
    <s v="VENTURI"/>
    <s v="FX DE D12"/>
    <s v="2 CEMENTOS DE VERTEBROPLASTIA"/>
    <m/>
    <s v="ACEPTADO"/>
    <s v="PARANÁ"/>
    <x v="1"/>
    <m/>
  </r>
  <r>
    <x v="214"/>
    <s v="PERALTA IRMA"/>
    <n v="74"/>
    <n v="3916161"/>
    <s v="URANGA "/>
    <s v="FX CADERA"/>
    <s v="PTC BIPOLAR"/>
    <m/>
    <s v="ACEPTADO"/>
    <s v="PARANÁ"/>
    <x v="1"/>
    <m/>
  </r>
  <r>
    <x v="214"/>
    <s v="BLANCO LIDIA"/>
    <n v="72"/>
    <n v="10499784"/>
    <s v="PELEGRINI"/>
    <s v="COXARTROSIS"/>
    <s v="PTC CEMENTADA"/>
    <m/>
    <s v="ACEPTADO"/>
    <s v="PARANÁ"/>
    <x v="1"/>
    <m/>
  </r>
  <r>
    <x v="214"/>
    <s v="RODRIGUEZ LEO"/>
    <n v="24"/>
    <n v="47521559"/>
    <s v="GARCIA VITOR"/>
    <s v="FX DE FEMUR"/>
    <s v="3 CABEZAS DE BANCO DE CADAVERES 1 PLACA DE RECO CON TORNILLOS"/>
    <m/>
    <s v="ACEPTADO"/>
    <s v="GUALEGUAY"/>
    <x v="0"/>
    <m/>
  </r>
  <r>
    <x v="214"/>
    <s v="KOBS JULIO"/>
    <m/>
    <n v="20342746"/>
    <s v="GARCIA VITOR"/>
    <s v="LUXACION PTC"/>
    <s v="1 COTILO D MOV "/>
    <m/>
    <s v="ACEPTADO"/>
    <s v="PARANÁ"/>
    <x v="0"/>
    <m/>
  </r>
  <r>
    <x v="215"/>
    <s v="GONZALEZ CLAUDIO"/>
    <n v="52"/>
    <n v="22342493"/>
    <s v="YACOMO"/>
    <s v="LCA"/>
    <s v="1 BOTON 1 TORNILLO"/>
    <m/>
    <s v="ACEPTADO"/>
    <s v="PARANÁ"/>
    <x v="0"/>
    <m/>
  </r>
  <r>
    <x v="215"/>
    <s v="WERNER SEBASTIAN"/>
    <n v="28"/>
    <n v="39259163"/>
    <s v="YACOMO"/>
    <s v="GUIA TIBIAL 1 PASA SUTURA SUTURE LAZO 1 CLAVIJA ROSCADA"/>
    <m/>
    <m/>
    <s v="ACEPTADO"/>
    <s v="FEDERAL"/>
    <x v="0"/>
    <m/>
  </r>
  <r>
    <x v="215"/>
    <s v="SLOMP KARINA"/>
    <n v="54"/>
    <n v="21472202"/>
    <s v="STOPELLO"/>
    <s v="PTC NO CEMENTADAD"/>
    <m/>
    <m/>
    <s v="ACEPTADO"/>
    <s v="LA PAZ"/>
    <x v="0"/>
    <m/>
  </r>
  <r>
    <x v="215"/>
    <s v="ROMERO ELSA"/>
    <n v="80"/>
    <n v="2762169"/>
    <s v="THOMPSOM"/>
    <s v="FX HOMBRO"/>
    <s v="PTH"/>
    <s v="VILLALBA"/>
    <s v="ACEPTADO"/>
    <s v="PARANÁ"/>
    <x v="1"/>
    <m/>
  </r>
  <r>
    <x v="215"/>
    <s v="VASQUEZ CLAUDIA"/>
    <n v="60"/>
    <n v="16787860"/>
    <s v="URANGA "/>
    <s v="HERNIA DE DISCO"/>
    <s v="1 CAGE 1 SUSTITUTO 1DRILL1 SET DE SEPARADORES"/>
    <m/>
    <s v="ACEPTADO"/>
    <s v="PARANÁ"/>
    <x v="1"/>
    <m/>
  </r>
  <r>
    <x v="215"/>
    <s v="CARDONA HUGO"/>
    <n v="67"/>
    <n v="12350588"/>
    <s v="CATRIEL GODOY"/>
    <s v="RUPTURA M ROTADOR"/>
    <s v="2 ARPONES "/>
    <m/>
    <s v="ACEPTADO"/>
    <s v="HASENKAMP"/>
    <x v="1"/>
    <m/>
  </r>
  <r>
    <x v="215"/>
    <s v="RUIZ MARIA ESTER"/>
    <n v="72"/>
    <n v="11071865"/>
    <s v="URANGA "/>
    <s v="FX CADERA"/>
    <s v="PTC COTILO D MOV"/>
    <m/>
    <s v="ACEPTADO"/>
    <s v="PARANÁ"/>
    <x v="1"/>
    <m/>
  </r>
  <r>
    <x v="215"/>
    <s v="ALVAREZ JOSE"/>
    <n v="80"/>
    <m/>
    <s v="CASERES"/>
    <s v="FX CADERA"/>
    <s v="CLAVO GAMMA"/>
    <s v="VILLALBA"/>
    <s v="ACEPTADO"/>
    <s v="PARANÁ"/>
    <x v="1"/>
    <m/>
  </r>
  <r>
    <x v="215"/>
    <s v="ORTMANN LIDIA"/>
    <n v="79"/>
    <n v="5007596"/>
    <s v="CASERES"/>
    <s v="FX CADERA"/>
    <s v="PTC CEMENTADA COTILO D MOV"/>
    <m/>
    <s v="ACEPTADO"/>
    <s v="PARANÁ"/>
    <x v="1"/>
    <m/>
  </r>
  <r>
    <x v="216"/>
    <s v="MORALES SUSANA"/>
    <n v="38"/>
    <n v="31760485"/>
    <s v="SUKSDORF"/>
    <s v="NECROSIS"/>
    <s v="1 PTC"/>
    <m/>
    <s v="ACEPTADO"/>
    <s v="PARANÁ"/>
    <x v="0"/>
    <m/>
  </r>
  <r>
    <x v="216"/>
    <s v="ARMOA NAHUEL"/>
    <n v="30"/>
    <n v="38055081"/>
    <s v="URANGA "/>
    <s v="ESPONDIOLISTESIS"/>
    <s v=" 1 ALIF DE PEEK 1 DOSIS DE SUSTITUTO "/>
    <m/>
    <s v="ACEPTADO"/>
    <m/>
    <x v="0"/>
    <m/>
  </r>
  <r>
    <x v="217"/>
    <s v="RETAMAL NILDA"/>
    <n v="70"/>
    <n v="11139879"/>
    <s v="UCEDO"/>
    <s v="HALLUX VALGUS"/>
    <s v="TORNILLO TIPO BAROUK CANULADOS CLAVIJAS"/>
    <m/>
    <s v="ACEPTADO"/>
    <s v="PARANÁ"/>
    <x v="1"/>
    <m/>
  </r>
  <r>
    <x v="218"/>
    <s v="PINO ALMA"/>
    <n v="65"/>
    <n v="13189473"/>
    <s v="NARVAEZ"/>
    <s v="ARTRODESIS DE T"/>
    <s v="TORNILLOS CANULADOS DE 2 A 4,5"/>
    <m/>
    <s v="ACEPTADO"/>
    <s v="SANTA ELENA "/>
    <x v="1"/>
    <m/>
  </r>
  <r>
    <x v="218"/>
    <s v="SCHLEGEL LIDIA"/>
    <n v="88"/>
    <n v="2322558"/>
    <s v="PEÑA TANIA"/>
    <s v="FX CADERA"/>
    <s v="PTC COTILO D MOV"/>
    <s v="VILLALBA"/>
    <s v="ACEPTADO"/>
    <s v="PARANÁ"/>
    <x v="1"/>
    <m/>
  </r>
  <r>
    <x v="218"/>
    <s v="RODRIGUEZ ROSA"/>
    <n v="64"/>
    <n v="13024140"/>
    <s v="UCEDO"/>
    <s v="FX HUMERO"/>
    <s v="1 PLACA PHILO TORNILLOS CANULADOS"/>
    <m/>
    <s v="ACEPTADO"/>
    <s v="PARANÁ"/>
    <x v="1"/>
    <m/>
  </r>
  <r>
    <x v="218"/>
    <s v="CABRERA ALICIA"/>
    <n v="71"/>
    <n v="11226133"/>
    <s v="CESAR MEYNET"/>
    <m/>
    <s v="PTC  COTILO D MOV"/>
    <s v="VILLALBA"/>
    <s v="ACEPTADO"/>
    <s v="LA PAZ"/>
    <x v="1"/>
    <m/>
  </r>
  <r>
    <x v="218"/>
    <s v="WAGNER OLGA"/>
    <n v="76"/>
    <n v="5661603"/>
    <s v="GARCIA VITOR"/>
    <s v="GONARTROSIS"/>
    <s v="PTR"/>
    <m/>
    <s v="ACEPTADO"/>
    <s v="PARANÁ"/>
    <x v="1"/>
    <m/>
  </r>
  <r>
    <x v="218"/>
    <s v="CORDOBA MARIA MERCEDES"/>
    <n v="53"/>
    <n v="13288315"/>
    <s v="COLLOMB"/>
    <s v="FX FEMUR"/>
    <s v="CLAVO GAMMA C ENDOMEDULAR"/>
    <m/>
    <s v="ACEPTADO"/>
    <s v="PARANÁ"/>
    <x v="1"/>
    <m/>
  </r>
  <r>
    <x v="218"/>
    <s v="MUÑOZ PABLO"/>
    <n v="42"/>
    <n v="29447429"/>
    <s v="PELEGRINI"/>
    <s v="LCA"/>
    <s v="1 BOTON 1 TORNILLO"/>
    <m/>
    <s v="ACEPTADO"/>
    <s v="PARANÁ"/>
    <x v="0"/>
    <m/>
  </r>
  <r>
    <x v="218"/>
    <s v="ROMERO PABLO"/>
    <n v="31"/>
    <n v="37976416"/>
    <s v="GARCIA VITOR"/>
    <s v="PSEUDOARTROSIS DE FEMUR"/>
    <s v="1SET DE EXTRACCION DE CLAVO FEMUR PLACAS CONDILEAS"/>
    <m/>
    <s v="ACEPTADO"/>
    <s v="PARANÁ"/>
    <x v="0"/>
    <m/>
  </r>
  <r>
    <x v="219"/>
    <s v="LENCINA LUCILA"/>
    <n v="83"/>
    <n v="6480034"/>
    <s v="CESAR MEYNET"/>
    <s v="GENUVARO"/>
    <s v="PTR"/>
    <s v="VILLALBA"/>
    <s v="ACEPTADO"/>
    <s v="PARANÁ"/>
    <x v="1"/>
    <m/>
  </r>
  <r>
    <x v="219"/>
    <s v="KOBS JULIO"/>
    <n v="56"/>
    <n v="20342746"/>
    <s v="GARCIA VITOR"/>
    <m/>
    <s v="COTILO DOBLE MOVILIDAD CAB. 28 MET. VILL. ACEPTADA"/>
    <m/>
    <s v="ACEPTADO"/>
    <s v="PARANÁ"/>
    <x v="1"/>
    <m/>
  </r>
  <r>
    <x v="220"/>
    <s v="jacob omar"/>
    <m/>
    <m/>
    <s v="STOPELLO"/>
    <s v="coxartrosis"/>
    <s v="4 dosis de cemento"/>
    <m/>
    <s v="ACEPTADO"/>
    <s v="PARANÁ"/>
    <x v="1"/>
    <m/>
  </r>
  <r>
    <x v="221"/>
    <s v="QUIROGA ROSA"/>
    <n v="52"/>
    <n v="22514950"/>
    <s v="STOPELLO"/>
    <s v="RTC"/>
    <s v="PTC "/>
    <m/>
    <s v="ACEPTADO"/>
    <s v="PARANÁ"/>
    <x v="0"/>
    <m/>
  </r>
  <r>
    <x v="221"/>
    <s v="ORTMANN LIDIA"/>
    <n v="79"/>
    <n v="5007596"/>
    <s v="COLLOMB"/>
    <s v="FX MUÑECA"/>
    <s v="PLACA DOBLE HD2,7/3,5 MM BL. VILLALBA"/>
    <s v=" BL. VILLALBA"/>
    <s v="ACEPTADO"/>
    <s v="PARANÁ"/>
    <x v="1"/>
    <m/>
  </r>
  <r>
    <x v="222"/>
    <s v="KLEM BRISA MAILEN"/>
    <n v="15"/>
    <n v="48850923"/>
    <s v="URANGA "/>
    <s v="ARTROSIS DE CADERA B"/>
    <s v="20 TORNILLOS 2 BARRAS POTENCIALES  ENFOCADOS"/>
    <m/>
    <s v="ACEPTADO"/>
    <s v="PARANÁ"/>
    <x v="0"/>
    <m/>
  </r>
  <r>
    <x v="223"/>
    <s v="kobs julio"/>
    <n v="56"/>
    <n v="20342746"/>
    <s v="GARCIA VITOR"/>
    <s v="LUXACION DE ART"/>
    <s v="COTILO DOBLE  MOV"/>
    <m/>
    <s v="ACEPTADO"/>
    <s v="CRESPO"/>
    <x v="1"/>
    <m/>
  </r>
  <r>
    <x v="223"/>
    <s v="SPAHN ROBERTO"/>
    <n v="44"/>
    <n v="26048527"/>
    <s v="URANGA "/>
    <m/>
    <s v="XLIF AUTOBLOQUEADO CON TORNILLO"/>
    <m/>
    <s v="ACEPTADO"/>
    <s v="ALDEA BRASILERA"/>
    <x v="1"/>
    <m/>
  </r>
  <r>
    <x v="223"/>
    <s v="ORTMANN LIDIA"/>
    <n v="79"/>
    <n v="5007596"/>
    <s v="COLLOMB"/>
    <s v="FX MUÑECA"/>
    <s v="PLACA DOBLE HD2,7/3,5 MM BL. VILLALBA"/>
    <m/>
    <s v="ACEPTADO"/>
    <s v="PARANÁ"/>
    <x v="1"/>
    <m/>
  </r>
  <r>
    <x v="223"/>
    <s v="GERSTNER VICTORIA"/>
    <n v="66"/>
    <n v="11793527"/>
    <s v="STOPELLO"/>
    <s v="coxartrosis"/>
    <s v="PTC "/>
    <s v="IP MAGNA"/>
    <s v="ACEPTADO"/>
    <s v="PARANÁ"/>
    <x v="1"/>
    <m/>
  </r>
  <r>
    <x v="224"/>
    <s v="MOREIRA BEATRIZ"/>
    <n v="71"/>
    <n v="10875962"/>
    <s v="COLLOMB"/>
    <s v="FX FEMUR IZQ"/>
    <s v="CLA END RETRO DE FEMURR ACERROJADO"/>
    <m/>
    <s v="ACEPTADO"/>
    <s v="PARANÁ"/>
    <x v="1"/>
    <m/>
  </r>
  <r>
    <x v="225"/>
    <s v="PEREYRA LIDIA "/>
    <n v="60"/>
    <n v="16787258"/>
    <s v="YACOMO"/>
    <s v="ARTROSIS DE CADERA B"/>
    <s v=" PTC"/>
    <s v="VILLALBA"/>
    <s v="ACEPTADO"/>
    <s v="PARANÁ"/>
    <x v="1"/>
    <m/>
  </r>
  <r>
    <x v="226"/>
    <s v="MENDOZA ADELA"/>
    <n v="86"/>
    <n v="933829"/>
    <s v="COLLOMB"/>
    <s v="FX DE CADERA "/>
    <s v="FX DE CADERA IZQ"/>
    <s v="VILLALBA"/>
    <s v="ACEPTADO"/>
    <s v="PARANÁ"/>
    <x v="1"/>
    <m/>
  </r>
  <r>
    <x v="227"/>
    <s v="AYALA MARIA"/>
    <n v="30"/>
    <n v="37291886"/>
    <m/>
    <s v="LCA"/>
    <s v="BOTON CORTICAL PARA REC LCA"/>
    <m/>
    <s v="ACEPTADO"/>
    <s v="HASENKAMP"/>
    <x v="0"/>
    <m/>
  </r>
  <r>
    <x v="228"/>
    <s v="LONDERO MARIA"/>
    <n v="83"/>
    <n v="3937496"/>
    <s v="COLLOMB"/>
    <s v="FX CADERA DERECHA"/>
    <s v="PROTESIS THOMPSON"/>
    <s v="VILLALBA"/>
    <s v="ACEPTADO"/>
    <s v="PARANÁ"/>
    <x v="1"/>
    <m/>
  </r>
  <r>
    <x v="228"/>
    <s v="ALBORNOZ JORGE"/>
    <n v="69"/>
    <n v="11727845"/>
    <s v="COLLOMB"/>
    <s v="FX CADERA DERECHA"/>
    <s v="CLAVO GAMMA CORTO Y LARGO"/>
    <s v="VILLALBA"/>
    <s v="ACEPTADO"/>
    <s v="PARANÁ"/>
    <x v="1"/>
    <m/>
  </r>
  <r>
    <x v="228"/>
    <s v="ROJAS CELINA"/>
    <n v="83"/>
    <n v="3930109"/>
    <s v="GARCIA VITOR"/>
    <s v="GONOARTROSIS"/>
    <s v="REMPLAZO TOTAL RODILLA DER"/>
    <s v="VILLALBA"/>
    <s v="ACEPTADO"/>
    <s v="PARANÁ"/>
    <x v="1"/>
    <m/>
  </r>
  <r>
    <x v="228"/>
    <s v="RODRIGUEZ DORA"/>
    <n v="77"/>
    <n v="5138088"/>
    <s v="STOPELLO"/>
    <s v="GONOARTROSIS"/>
    <s v="PTC"/>
    <s v="VILLALBA"/>
    <s v="ACEPTADO"/>
    <s v="PARANÁ"/>
    <x v="1"/>
    <m/>
  </r>
  <r>
    <x v="228"/>
    <s v="CHAMOT KARINA"/>
    <n v="56"/>
    <n v="20097012"/>
    <s v="GARCIA VITOR"/>
    <s v="OSTEONECROSIS"/>
    <s v="PTC"/>
    <m/>
    <s v="ACEPTADO"/>
    <s v="LA PAZ"/>
    <x v="0"/>
    <m/>
  </r>
  <r>
    <x v="228"/>
    <s v="KUNZI SEBASTIAN"/>
    <n v="74"/>
    <n v="8399044"/>
    <s v="VENTURI"/>
    <s v="RUP MANG ROT"/>
    <s v="2 ARP."/>
    <s v="VILLALBA"/>
    <s v="ACEPTADO"/>
    <s v="PARANÁ"/>
    <x v="1"/>
    <m/>
  </r>
  <r>
    <x v="229"/>
    <s v="VALIENTE MARCELO"/>
    <n v="26"/>
    <n v="40873609"/>
    <s v="PELEGRINI"/>
    <s v="RUP LCA"/>
    <s v="BOT. CORT. 1 TORNILLO INTERFERENCIAL"/>
    <m/>
    <s v="ACEPTADO"/>
    <s v="PARANÁ"/>
    <x v="0"/>
    <m/>
  </r>
  <r>
    <x v="230"/>
    <s v="RAMIREZ ROMAN"/>
    <n v="43"/>
    <n v="95483200"/>
    <s v="MERLINI"/>
    <s v="FX 234 ,MTC DERECHA"/>
    <s v="PL. 2 OMM BL. PL 2.7 BL. CLAV. 1.0 EL"/>
    <m/>
    <s v="ACEPTADO"/>
    <s v="PARANÁ"/>
    <x v="0"/>
    <m/>
  </r>
  <r>
    <x v="230"/>
    <s v="TAISNER KAREN"/>
    <n v="25"/>
    <n v="42241205"/>
    <s v="MERLINI"/>
    <s v="FX MUÑECA BI"/>
    <s v="PL. DOBLE HI. DIS 3,5- 2,7 MM PL. DCP 3.5 BL.LC"/>
    <m/>
    <s v="ACEPTADO"/>
    <s v="PARANÁ"/>
    <x v="0"/>
    <m/>
  </r>
  <r>
    <x v="230"/>
    <s v="LEHONARDT AZUCENA"/>
    <n v="83"/>
    <n v="3956837"/>
    <m/>
    <s v="FX CADERA "/>
    <s v="PROT THOMSON STE. HEMOSUCTOR"/>
    <s v="VILLALBA"/>
    <s v="ACEPTADO"/>
    <s v="PARANÁ"/>
    <x v="1"/>
    <m/>
  </r>
  <r>
    <x v="231"/>
    <s v="GONZALEZ SILVIA"/>
    <n v="66"/>
    <n v="12499524"/>
    <m/>
    <s v="RODILLA"/>
    <s v="1 DESTORNILLADOR PUN ESTRELLADA"/>
    <s v="VILLALBA"/>
    <s v="ACEPTADO"/>
    <s v="SAN BENITO"/>
    <x v="1"/>
    <m/>
  </r>
  <r>
    <x v="232"/>
    <s v="RETAMAL NILDA"/>
    <n v="70"/>
    <n v="11139879"/>
    <m/>
    <s v="CONS VICIOSA VS RET, CON."/>
    <s v="1 CLAV. TIPO MULLER. CON SET MAS 1 NUEV CL GAMMA"/>
    <s v="VILLALBA"/>
    <s v="ACEPTADO"/>
    <s v="PARANÁ"/>
    <x v="1"/>
    <m/>
  </r>
  <r>
    <x v="233"/>
    <s v="IEDRO BARBARA"/>
    <n v="41"/>
    <n v="29988444"/>
    <s v="COLLOMB"/>
    <s v="GONOARTROSIS DER E IZQ SEV"/>
    <s v="SIS ROD CEM PTR, CON COMP FEM. CR 12 TALLAS"/>
    <m/>
    <s v="ACEPTADO"/>
    <s v="PARANÁ"/>
    <x v="0"/>
    <m/>
  </r>
  <r>
    <x v="234"/>
    <s v="DEMUTTE BEATRIZ"/>
    <n v="70"/>
    <n v="57177977"/>
    <m/>
    <s v="CANAL ESTRECHO"/>
    <s v="SIS DE FIJACION COL. 5 NIV. 10 TOR PED"/>
    <m/>
    <s v="ACEPTADO"/>
    <s v="PARANÁ"/>
    <x v="1"/>
    <m/>
  </r>
  <r>
    <x v="234"/>
    <s v="IGLESIAS NEYEN "/>
    <m/>
    <n v="46467519"/>
    <s v="MERLINI"/>
    <s v="FX CLAVICULA IZQUIERDA"/>
    <s v="PLACA ANATOMICA BLOQ. 3."/>
    <m/>
    <s v="ACEPTADO"/>
    <m/>
    <x v="0"/>
    <m/>
  </r>
  <r>
    <x v="234"/>
    <s v="VIVAS ALBERTO "/>
    <m/>
    <n v="24189194"/>
    <m/>
    <s v="FX PELVIS"/>
    <m/>
    <s v="PLACAS DE RECONS. "/>
    <s v="ACEPTADO"/>
    <s v="PARANÁ"/>
    <x v="0"/>
    <m/>
  </r>
  <r>
    <x v="235"/>
    <s v="VENECIO URSULA"/>
    <n v="28"/>
    <n v="39256928"/>
    <s v="VENTURI"/>
    <s v="LCA"/>
    <s v="ENDOBOTTON TORNILLO INTER"/>
    <m/>
    <s v="ACEPTADO"/>
    <s v="PARANÁ"/>
    <x v="0"/>
    <m/>
  </r>
  <r>
    <x v="235"/>
    <s v="ORZUZA SANTIAGO"/>
    <n v="23"/>
    <n v="44644693"/>
    <s v="VENTURI"/>
    <s v="FX MUÑECA "/>
    <s v="1 PLACA DOBLE HILERA T 2,7- 3,5"/>
    <m/>
    <s v="ACEPTADO"/>
    <s v="PARANÁ"/>
    <x v="0"/>
    <m/>
  </r>
  <r>
    <x v="236"/>
    <s v="CHIMENTO MERCEDES"/>
    <n v="71"/>
    <n v="10744458"/>
    <s v="YACOMO"/>
    <s v="GONATROSIS"/>
    <s v="PTR CEMENTADA CON VASTAGOS"/>
    <m/>
    <s v="ACEPTADO"/>
    <s v="PARANÁ"/>
    <x v="1"/>
    <m/>
  </r>
  <r>
    <x v="237"/>
    <s v="YACOB ERCILIA"/>
    <m/>
    <n v="5634174"/>
    <s v="MERLINI"/>
    <s v="COXARTROSIS"/>
    <s v="1 ESPACIADOR"/>
    <m/>
    <s v="ACEPTADO"/>
    <s v="PARANÁ"/>
    <x v="1"/>
    <m/>
  </r>
  <r>
    <x v="238"/>
    <s v="MACIEL HUMBERTO"/>
    <n v="72"/>
    <n v="10070462"/>
    <s v="YACOMO"/>
    <s v="GONARTROSIS"/>
    <s v="PROTESIS DE RODILLA"/>
    <s v="VILLALBA"/>
    <s v="ACEPTADO"/>
    <s v="TABOSSI"/>
    <x v="1"/>
    <m/>
  </r>
  <r>
    <x v="238"/>
    <s v="SOLARO ELSA"/>
    <n v="79"/>
    <n v="5219313"/>
    <s v="GARCIA VITOR"/>
    <s v="ARTROSIS DE CADERA"/>
    <s v="PTC COTILO DOBLE MOVILIDAD"/>
    <m/>
    <s v="ACEPTADO"/>
    <s v="PARANÁ"/>
    <x v="1"/>
    <m/>
  </r>
  <r>
    <x v="239"/>
    <s v="KRIVUSESKI LIDIA"/>
    <n v="74"/>
    <n v="5912043"/>
    <s v="CATRIEL GODOY"/>
    <s v="RUPTURA DE MAANGUIT"/>
    <s v="2 ARPONES 5,0 2 ARPONES 2,5"/>
    <m/>
    <s v="ACEPTADO"/>
    <s v="PARANÁ"/>
    <x v="1"/>
    <m/>
  </r>
  <r>
    <x v="239"/>
    <s v="MENDOZA ISABEL"/>
    <n v="61"/>
    <n v="16166984"/>
    <s v="MERLINI"/>
    <s v="FX MUÑECA"/>
    <s v="PLACA EDR BLOQUEADA"/>
    <m/>
    <s v="ACEPTADO"/>
    <s v="PARANÁ"/>
    <x v="1"/>
    <m/>
  </r>
  <r>
    <x v="239"/>
    <s v="GOMEZ LUIS ALBERTO"/>
    <n v="77"/>
    <n v="8451372"/>
    <s v="SUKSDORF"/>
    <s v="GONARTROSIS"/>
    <s v="PTR ANATOMICA"/>
    <m/>
    <s v="ACEPTADO"/>
    <s v="PARANÁ"/>
    <x v="1"/>
    <m/>
  </r>
  <r>
    <x v="239"/>
    <s v="MENA ISIDORO"/>
    <n v="61"/>
    <n v="14983367"/>
    <s v="CESAR MEYNET"/>
    <s v="AFLOJAMIENTO DE REVISION"/>
    <s v="1 TALLO FEMORAL DE FIJ 1 COTILO NO CEMENTADO 4 UNID DE IJERTO"/>
    <m/>
    <s v="ACEPTADO"/>
    <s v="MARIA GRANDE "/>
    <x v="0"/>
    <m/>
  </r>
  <r>
    <x v="240"/>
    <s v="MAYORA LILIANA"/>
    <n v="48"/>
    <n v="24613793"/>
    <s v="JACOB"/>
    <s v="4 TORNILLOS PEDICULARES 2 BARRAS 1 CAGE 1DRILL 1 HEMOGEL"/>
    <m/>
    <m/>
    <s v="ACEPTADO"/>
    <s v="DIAMANTE"/>
    <x v="0"/>
    <m/>
  </r>
  <r>
    <x v="240"/>
    <s v="ORTIZ JUAN JOSE"/>
    <m/>
    <n v="14202807"/>
    <s v="STOPELLO"/>
    <s v="SISTEA DE RTR"/>
    <m/>
    <m/>
    <s v="ACEPTADO"/>
    <s v="PARANÁ"/>
    <x v="0"/>
    <m/>
  </r>
  <r>
    <x v="240"/>
    <s v="sanchez Juan Pablo"/>
    <n v="15"/>
    <n v="49441366"/>
    <s v="UCEDO"/>
    <s v="pie equino"/>
    <s v="2 set de placas 4 tornillos canulados"/>
    <m/>
    <s v="ACEPTADO"/>
    <s v="SANTA ELENA "/>
    <x v="0"/>
    <m/>
  </r>
  <r>
    <x v="241"/>
    <s v="ESPINDOLA DANIELA"/>
    <n v="36"/>
    <n v="33242047"/>
    <s v="GARCIA VITOR"/>
    <s v="OSTEOSINTESIS "/>
    <s v="1 EXTRACTOR DE CLAVO"/>
    <m/>
    <s v="ACEPTADO"/>
    <s v="PARANÁ"/>
    <x v="0"/>
    <m/>
  </r>
  <r>
    <x v="241"/>
    <s v="DA LUZ ROSA"/>
    <n v="75"/>
    <n v="5912079"/>
    <s v="SUKSDORF"/>
    <s v="COXARTROSIS"/>
    <s v="PTC COTILO DOBLE MOVILIDAD"/>
    <m/>
    <s v="ACEPTADO"/>
    <s v="PARANÁ"/>
    <x v="1"/>
    <m/>
  </r>
  <r>
    <x v="242"/>
    <s v="RUEDA RAMON"/>
    <n v="48"/>
    <n v="25392272"/>
    <s v="HERMIDA "/>
    <s v="RUP MANGUITO ROT"/>
    <s v="3 ARPONES 3,5"/>
    <m/>
    <s v="ACEPTADO"/>
    <s v="VILLAGUAY"/>
    <x v="0"/>
    <m/>
  </r>
  <r>
    <x v="242"/>
    <s v="ALARCON VERONICA"/>
    <n v="29"/>
    <n v="38516507"/>
    <s v="HERMIDA "/>
    <s v="LCA"/>
    <s v="1 TORNILLO 1 BOTON"/>
    <m/>
    <s v="ACEPTADO"/>
    <s v="HASENKAMP"/>
    <x v="0"/>
    <m/>
  </r>
  <r>
    <x v="242"/>
    <s v="ELLENA LINDA ABRIL"/>
    <n v="82"/>
    <n v="4211059"/>
    <s v="CASERES"/>
    <s v="FX CADERA "/>
    <s v="CLAVO GAMMA CORTO Y LARGO"/>
    <m/>
    <s v="ACEPTADO"/>
    <s v="PARANÁ"/>
    <x v="1"/>
    <m/>
  </r>
  <r>
    <x v="242"/>
    <s v="MAQUIAVELLO MARIO"/>
    <n v="67"/>
    <n v="12756060"/>
    <s v="CATRIEL GODOY"/>
    <s v="SME MANGUITO ROT"/>
    <s v="2 ARPONES 5, 0 1 SUTURA DE ALTA RESIST"/>
    <m/>
    <s v="ACEPTADO"/>
    <s v="PARANÁ"/>
    <x v="1"/>
    <m/>
  </r>
  <r>
    <x v="242"/>
    <s v="GOTTIG PEDRO "/>
    <n v="76"/>
    <n v="4625321"/>
    <s v="MERLINI"/>
    <s v="FX CADERA IZ"/>
    <s v="PTC     "/>
    <m/>
    <s v="ACEPTADO"/>
    <s v="PARANÁ"/>
    <x v="1"/>
    <m/>
  </r>
  <r>
    <x v="243"/>
    <s v="Monzon Diego"/>
    <n v="38"/>
    <n v="32511802"/>
    <s v="YACOMO"/>
    <s v="LCA"/>
    <s v="1 BOTON 1 TORNILLO"/>
    <m/>
    <s v="ACEPTADO"/>
    <s v="PARANÁ"/>
    <x v="0"/>
    <m/>
  </r>
  <r>
    <x v="244"/>
    <s v="Rodriguez Silvana"/>
    <n v="71"/>
    <n v="10819564"/>
    <s v="CASERES"/>
    <s v="fx adera"/>
    <s v="CLAVO GAMMA CORTO Y LARGO"/>
    <m/>
    <s v="ACEPTADO"/>
    <s v="Paraná"/>
    <x v="1"/>
    <m/>
  </r>
  <r>
    <x v="244"/>
    <s v="Allende Juan Ramon"/>
    <n v="54"/>
    <n v="21428052"/>
    <s v="STOPELLO"/>
    <m/>
    <s v="anillo de burch reemplazo de cadera de rev"/>
    <m/>
    <s v="ACEPTADO"/>
    <s v="SAUCE DE LUNA"/>
    <x v="1"/>
    <s v="  "/>
  </r>
  <r>
    <x v="245"/>
    <s v="Erbes Nelida"/>
    <n v="66"/>
    <n v="12133480"/>
    <s v="UCEDO"/>
    <s v="HALLUX VALGUS"/>
    <s v="1 T HERBERT 2,7 Y 3 MM 2 CLAVIJAS 2MM Y DOS 1MM"/>
    <m/>
    <s v="ACEPTADO"/>
    <s v="PARANÁ"/>
    <x v="0"/>
    <m/>
  </r>
  <r>
    <x v="245"/>
    <s v="Charpentier  LILIANA"/>
    <n v="44"/>
    <n v="27426343"/>
    <s v="GARCIA VITOR"/>
    <s v="GENU VARO "/>
    <s v="PLACA PUDDU"/>
    <m/>
    <s v="ACEPTADO"/>
    <s v="VICTORIA"/>
    <x v="0"/>
    <m/>
  </r>
  <r>
    <x v="245"/>
    <s v="SMITH ALICIA"/>
    <n v="70"/>
    <n v="10744486"/>
    <s v="CASERES"/>
    <s v="CLAVO GAMMA CORTO Y LARGO"/>
    <m/>
    <m/>
    <s v="ACEPTADO"/>
    <s v="PARANÁ"/>
    <x v="1"/>
    <m/>
  </r>
  <r>
    <x v="245"/>
    <s v="URSINI AGUEDA "/>
    <n v="68"/>
    <n v="12133206"/>
    <s v="GARCIA VITOR"/>
    <s v="OSTEOARTRITIS"/>
    <s v="PTC HIBRIDA"/>
    <m/>
    <s v="ACEPTADO"/>
    <s v="PARANÁ"/>
    <x v="1"/>
    <m/>
  </r>
  <r>
    <x v="246"/>
    <s v="GEIST NORMA "/>
    <n v="74"/>
    <n v="6225431"/>
    <s v="GARCIA VITOR"/>
    <s v="GONATROSIS"/>
    <s v="PTR"/>
    <m/>
    <s v="ACEPTADO"/>
    <s v="PARANÁ"/>
    <x v="1"/>
    <m/>
  </r>
  <r>
    <x v="246"/>
    <s v="RIOS MARIA"/>
    <n v="83"/>
    <n v="3937564"/>
    <s v="CASERES"/>
    <s v="FX FEMUR"/>
    <s v="CLAVO ENDOMEDULAR RETROGRADO DE F"/>
    <m/>
    <s v="ACEPTADO"/>
    <s v="PARANÁ"/>
    <x v="1"/>
    <m/>
  </r>
  <r>
    <x v="246"/>
    <s v="SCHMLER ROSALIA"/>
    <n v="66"/>
    <n v="12309096"/>
    <s v="URANGA "/>
    <s v="FX HUMERO "/>
    <s v="CLAVO ENDOMEDULAR DE HUMERO"/>
    <m/>
    <s v="ACEPTADO"/>
    <s v="PARANÁ"/>
    <x v="1"/>
    <m/>
  </r>
  <r>
    <x v="246"/>
    <s v="SLOMP KARINA"/>
    <n v="54"/>
    <n v="21472202"/>
    <s v="STOPELLO"/>
    <s v="ARTROSIS DE CADERA "/>
    <s v=" PTC NO CEMENTAADA"/>
    <m/>
    <s v="ACEPTADO"/>
    <s v="LA PAZ"/>
    <x v="1"/>
    <m/>
  </r>
  <r>
    <x v="247"/>
    <s v="MARTINEZ TOMASA"/>
    <n v="68"/>
    <n v="11584774"/>
    <s v="GARCIA VITOR"/>
    <s v="ARTROSIS DE CADERA "/>
    <s v=" PTC HIBRIDA"/>
    <m/>
    <s v="ACEPTADO"/>
    <s v="PARANÁ"/>
    <x v="1"/>
    <m/>
  </r>
  <r>
    <x v="247"/>
    <s v="CURVALE GRACIELA"/>
    <n v="72"/>
    <n v="10538145"/>
    <s v="CESAR MEYNET"/>
    <s v="GENU VARO"/>
    <s v="PTR ABISAGRADA"/>
    <m/>
    <s v="ACEPTADO"/>
    <s v="PARANÁ"/>
    <x v="1"/>
    <m/>
  </r>
  <r>
    <x v="247"/>
    <s v="ALVAREZ MARIA"/>
    <n v="70"/>
    <n v="11200318"/>
    <s v="GARCIA VITOR"/>
    <s v="GONARTROSIS"/>
    <s v="PTR"/>
    <m/>
    <s v="ACEPTADO"/>
    <s v="PARANÁ"/>
    <x v="1"/>
    <m/>
  </r>
  <r>
    <x v="248"/>
    <s v="NETTO RAMON"/>
    <n v="78"/>
    <n v="8450347"/>
    <s v="SUKSDORF"/>
    <s v="COXARTROSIS"/>
    <s v="PTC HIBRIDA"/>
    <m/>
    <s v="ACEPTADO"/>
    <s v="PARANÁ"/>
    <x v="1"/>
    <m/>
  </r>
  <r>
    <x v="248"/>
    <s v="KEMMERER MARIA"/>
    <n v="72"/>
    <n v="10281429"/>
    <s v="GARCIA VITOR"/>
    <s v="GENU VARO"/>
    <s v="PTR IZQUIERDA"/>
    <m/>
    <s v="ACEPTADO"/>
    <s v="PARANÁ"/>
    <x v="1"/>
    <m/>
  </r>
  <r>
    <x v="248"/>
    <s v="TORTUL GRACIELA"/>
    <n v="69"/>
    <n v="11740043"/>
    <s v="GARCIA VITOR"/>
    <s v="PSEUDOARTROSIS"/>
    <s v="PLACA CONDILEA PLACA RECONS CLAVO RETROGRADO"/>
    <m/>
    <s v="ACEPTADO"/>
    <s v="PARANÁ"/>
    <x v="1"/>
    <m/>
  </r>
  <r>
    <x v="249"/>
    <s v="ALLENDE JUAN "/>
    <n v="54"/>
    <n v="21428052"/>
    <s v="STOPELLO"/>
    <s v="ANILLO DE BURCH RTC DE REVISION"/>
    <m/>
    <m/>
    <s v="ACEPTADO"/>
    <s v="PARANÁ"/>
    <x v="1"/>
    <m/>
  </r>
  <r>
    <x v="250"/>
    <s v="IBARRA MARIA"/>
    <n v="72"/>
    <n v="5789926"/>
    <s v="MERLINI"/>
    <s v="FX MUÑECA"/>
    <s v="PLACA DOBLE HILERA DISTAL"/>
    <m/>
    <s v="ACEPTADO"/>
    <s v="PARANÁ"/>
    <x v="1"/>
    <m/>
  </r>
  <r>
    <x v="250"/>
    <s v="SORTINO JUAN JOSE"/>
    <n v="75"/>
    <n v="8068965"/>
    <s v="SUKSDORF"/>
    <s v="GONARTROSIS"/>
    <s v="PTR"/>
    <m/>
    <s v="ACEPTADO"/>
    <s v="DIAMANTE"/>
    <x v="1"/>
    <m/>
  </r>
  <r>
    <x v="250"/>
    <s v="Ubal carlos"/>
    <n v="69"/>
    <n v="11290495"/>
    <s v="GARCIA VITOR"/>
    <s v="COXARTROSIS"/>
    <s v="PTC HIBRIDA"/>
    <m/>
    <s v="ACEPTADO"/>
    <s v="PARANÁ"/>
    <x v="1"/>
    <m/>
  </r>
  <r>
    <x v="250"/>
    <s v="FERNANDEZ MONICA"/>
    <n v="67"/>
    <n v="12891487"/>
    <s v="STOPELLO"/>
    <s v="GONARTROSIS"/>
    <s v="PTR CON VASTAGOS Y CUÑAS"/>
    <m/>
    <s v="ACEPTADO"/>
    <s v="PARANÁ"/>
    <x v="1"/>
    <m/>
  </r>
  <r>
    <x v="250"/>
    <s v="CHIABRANDO MANUEL"/>
    <n v="66"/>
    <n v="12064343"/>
    <s v="CESAR MEYNET"/>
    <s v="GENU VALGO"/>
    <s v="PTR CON VASTAGO TIBIAL"/>
    <m/>
    <s v="ACEPTADO"/>
    <s v="DIAMANTE"/>
    <x v="1"/>
    <m/>
  </r>
  <r>
    <x v="250"/>
    <s v="RETAMAL NILDA "/>
    <n v="70"/>
    <n v="11139879"/>
    <s v="GARCIA VITOR"/>
    <s v="PSEUDOARTROSIS"/>
    <s v="PTC NO CEMENTADA DE FIJACION DISTAL CONICA "/>
    <m/>
    <s v="ACEPTADO"/>
    <s v="PARANÁ"/>
    <x v="1"/>
    <m/>
  </r>
  <r>
    <x v="251"/>
    <s v="RAMIREZ MIRTA"/>
    <m/>
    <m/>
    <s v="GARCIA VITOR"/>
    <s v="COXARTROSIS"/>
    <s v="PTC NO CEMENTADA COTILO MULTIPERFORADO TALLO PULIDO ESPEJO"/>
    <m/>
    <s v="ACEPTADO"/>
    <s v="PARANÁ"/>
    <x v="1"/>
    <m/>
  </r>
  <r>
    <x v="252"/>
    <s v="LORENZO ANA"/>
    <n v="78"/>
    <n v="4923607"/>
    <s v="MERLINI"/>
    <s v="FX CADERA"/>
    <s v="THOMPSON"/>
    <s v="VILLALBA"/>
    <s v="ACEPTADO"/>
    <s v="PARANÁ"/>
    <x v="1"/>
    <m/>
  </r>
  <r>
    <x v="252"/>
    <s v="GAITAN  MARIA DEL CARMEN"/>
    <n v="62"/>
    <n v="14936950"/>
    <s v="UCEDO"/>
    <s v="HALLUX V"/>
    <s v="1T BAROUK 1 CUNULADOS 2 CLAVIJAS 2,0 2 CLAVIJAS 1,5 MM"/>
    <m/>
    <s v="ACEPTADO"/>
    <s v="PARANÁ"/>
    <x v="1"/>
    <m/>
  </r>
  <r>
    <x v="253"/>
    <s v="MENA CELIA"/>
    <n v="78"/>
    <n v="5254243"/>
    <s v="MERLINI"/>
    <s v="FX MUÑECA"/>
    <s v="PLACA EDR DOBLE HILERA"/>
    <s v="VILLALBA"/>
    <s v="ACEPTADO"/>
    <s v="PARANÁ"/>
    <x v="1"/>
    <m/>
  </r>
  <r>
    <x v="253"/>
    <s v="MILDENBERGER ADELINA"/>
    <n v="76"/>
    <n v="6211241"/>
    <m/>
    <s v="GENU VARO"/>
    <s v="PTR"/>
    <m/>
    <s v="ACEPTADO"/>
    <s v="PARANÁ"/>
    <x v="1"/>
    <m/>
  </r>
  <r>
    <x v="253"/>
    <s v="GRANDOLI DORA"/>
    <n v="77"/>
    <n v="5710704"/>
    <s v="NARVAEZ"/>
    <s v="HALLUX"/>
    <s v="1 PLACA B 1 TORNILLO H"/>
    <m/>
    <s v="ACEPTADO"/>
    <s v="PARANÁ"/>
    <x v="1"/>
    <m/>
  </r>
  <r>
    <x v="253"/>
    <s v="MAYDANA LUIS"/>
    <n v="68"/>
    <n v="12313631"/>
    <s v="CESAR MEYNET"/>
    <s v="COXARTROSIS"/>
    <s v="PTC COTILO NO CEMENTADO"/>
    <m/>
    <s v="ACEPTADO"/>
    <s v="PARANÁ"/>
    <x v="1"/>
    <m/>
  </r>
  <r>
    <x v="254"/>
    <s v="RETAMAL ROSA"/>
    <n v="61"/>
    <n v="16166789"/>
    <s v="MERLINI"/>
    <s v="FX CADERA"/>
    <s v="CLAVO GAMMA CORTO Y LARGO"/>
    <m/>
    <s v="ACEPTADO"/>
    <s v="PARANÁ"/>
    <x v="1"/>
    <m/>
  </r>
  <r>
    <x v="255"/>
    <s v="Caceres Jeremias"/>
    <n v="24"/>
    <n v="42918928"/>
    <s v="GARCIA VITOR"/>
    <s v="INESTABILIDAD ANTERIOR DE RODILLA"/>
    <s v="1 BOTON AUTOAJUSTABLE 2 T DE TITANIO ROSCA ROMA 1 PUNTA SHAVER 1 P RADIO"/>
    <m/>
    <s v="ACEPTADO"/>
    <m/>
    <x v="0"/>
    <m/>
  </r>
  <r>
    <x v="256"/>
    <s v="Pereyra Geronima "/>
    <n v="88"/>
    <n v="2814064"/>
    <s v="MERLINI"/>
    <s v="fx cadera"/>
    <s v="CLAVO GAMMA CORTO Y LARGO"/>
    <m/>
    <s v="ACEPTADO"/>
    <s v="PARANÁ"/>
    <x v="1"/>
    <m/>
  </r>
  <r>
    <x v="256"/>
    <s v="MENA NORMA"/>
    <n v="66"/>
    <n v="13353910"/>
    <s v="MERLINI"/>
    <s v="FX CADERA"/>
    <s v="CLAVO GAMMA CORTO Y LARGO"/>
    <m/>
    <s v="ACEPTADO"/>
    <s v="PARANÁ"/>
    <x v="1"/>
    <m/>
  </r>
  <r>
    <x v="257"/>
    <s v="SUAREZ NORA"/>
    <n v="64"/>
    <n v="14094469"/>
    <m/>
    <s v="RTR IZQUIERDA"/>
    <s v="GENU VARO"/>
    <m/>
    <s v="ACEPTADO"/>
    <s v="PARANÁ"/>
    <x v="1"/>
    <m/>
  </r>
  <r>
    <x v="257"/>
    <s v="KOBS JULIO"/>
    <n v="56"/>
    <n v="20342746"/>
    <s v="GARCIA VITOR"/>
    <s v="INFECCION PROTESICA"/>
    <s v="SET PARA EXTRACCION"/>
    <m/>
    <s v="ACEPTADO"/>
    <s v="PARANÁ"/>
    <x v="1"/>
    <m/>
  </r>
  <r>
    <x v="258"/>
    <s v="Gazagne Libertad "/>
    <n v="82"/>
    <n v="4269932"/>
    <s v="MERLINI"/>
    <s v="Fx cadera"/>
    <s v="ptc thompson"/>
    <m/>
    <s v="ACEPTADO"/>
    <s v="PARANÁ"/>
    <x v="1"/>
    <m/>
  </r>
  <r>
    <x v="259"/>
    <s v="ACOSTA ALICIA"/>
    <n v="68"/>
    <n v="12313708"/>
    <s v="YACOMO"/>
    <s v="ARTROSCOPIA"/>
    <s v="PUNTA DE SHAVER 4,5"/>
    <m/>
    <s v="ACEPTADO"/>
    <s v="PARANÁ"/>
    <x v="1"/>
    <m/>
  </r>
  <r>
    <x v="259"/>
    <s v="MACIAS GABRIEL"/>
    <n v="54"/>
    <n v="20807378"/>
    <s v="CESAR MEYNET"/>
    <s v="COXARTROSIS"/>
    <s v="PTC NO CEMENTADA"/>
    <m/>
    <s v="ACEPTADO"/>
    <s v="PARANÁ"/>
    <x v="0"/>
    <m/>
  </r>
  <r>
    <x v="260"/>
    <s v="BATTAGLIERO ERNESTO"/>
    <n v="64"/>
    <n v="13428662"/>
    <s v="GARCIA VITOR"/>
    <s v="INFECCION EN CIRUGIA"/>
    <m/>
    <m/>
    <s v="ACEPTADO"/>
    <s v="PARANÁ"/>
    <x v="1"/>
    <m/>
  </r>
  <r>
    <x v="261"/>
    <s v="Rodriguez Franco"/>
    <n v="28"/>
    <n v="39714841"/>
    <s v="PELEGRINI"/>
    <s v="LCA"/>
    <s v="1 BOTON 1 TORNILO INT"/>
    <m/>
    <s v="ACEPTADO"/>
    <s v="Gualeguay"/>
    <x v="0"/>
    <m/>
  </r>
  <r>
    <x v="261"/>
    <s v="Iarce Gerardo"/>
    <n v="45"/>
    <n v="27466077"/>
    <s v="PELEGRINI"/>
    <s v="LCA"/>
    <s v="1 BOTON 1 TORNILO INT"/>
    <m/>
    <s v="ACEPTADO"/>
    <s v="Gualeguay"/>
    <x v="0"/>
    <m/>
  </r>
  <r>
    <x v="261"/>
    <s v="Zarate Brian"/>
    <n v="26"/>
    <n v="40989713"/>
    <s v="PELEGRINI"/>
    <s v="LCA"/>
    <s v="1 BOTON 1 TORNILO INT"/>
    <m/>
    <s v="ACEPTADO"/>
    <s v="Gualeguay"/>
    <x v="0"/>
    <m/>
  </r>
  <r>
    <x v="261"/>
    <s v="Godoy Rosalia"/>
    <n v="53"/>
    <n v="21839702"/>
    <s v="MERLINI"/>
    <s v="Fx de humero"/>
    <s v="1 Placa Philos 3,5"/>
    <m/>
    <s v="ACEPTADO"/>
    <m/>
    <x v="0"/>
    <m/>
  </r>
  <r>
    <x v="262"/>
    <s v="Echengue Horacio"/>
    <n v="41"/>
    <n v="27492289"/>
    <s v="CATRIEL GODOY"/>
    <s v="luxacion "/>
    <s v="1 endobutton  2 sutura de alta resistencia"/>
    <m/>
    <s v="ACEPTADO"/>
    <s v="PARANÁ"/>
    <x v="0"/>
    <m/>
  </r>
  <r>
    <x v="262"/>
    <s v="Kecher Santiago"/>
    <n v="16"/>
    <n v="48335506"/>
    <s v="HERMIDA "/>
    <s v="1 Boton 1 Tornillo"/>
    <s v="LCA"/>
    <m/>
    <s v="ACEPTADO"/>
    <s v="Paraná"/>
    <x v="0"/>
    <m/>
  </r>
  <r>
    <x v="262"/>
    <s v="Martinez Angelina"/>
    <n v="59"/>
    <n v="17044707"/>
    <s v="CATRIEL GODOY"/>
    <s v="RTR   "/>
    <s v="GONARTROSIS"/>
    <m/>
    <s v="ACEPTADO"/>
    <m/>
    <x v="0"/>
    <m/>
  </r>
  <r>
    <x v="262"/>
    <s v="Aracenas Moreno Hugo"/>
    <n v="27"/>
    <n v="40563131"/>
    <s v="HERMIDA "/>
    <s v="LCA"/>
    <s v="1BOTON 1 Tornillo"/>
    <m/>
    <s v="ACEPTADO"/>
    <s v="villaguay"/>
    <x v="0"/>
    <m/>
  </r>
  <r>
    <x v="263"/>
    <s v="Minetti Miguel "/>
    <n v="54"/>
    <n v="21425700"/>
    <s v="YACOMO"/>
    <s v="Genu Varo"/>
    <s v="1 Placa puddu"/>
    <m/>
    <s v="ACEPTADO"/>
    <s v="Paraná"/>
    <x v="0"/>
    <m/>
  </r>
  <r>
    <x v="263"/>
    <s v="Castillo Norma"/>
    <n v="55"/>
    <n v="20623748"/>
    <s v="CESAR MEYNET"/>
    <s v="Coxartrosis"/>
    <s v="1 PTC NO CEMENTADA"/>
    <m/>
    <s v="ACEPTADO"/>
    <s v="LA PAZ"/>
    <x v="0"/>
    <m/>
  </r>
  <r>
    <x v="263"/>
    <s v="Rios Nadia"/>
    <n v="34"/>
    <n v="35442166"/>
    <s v="YACOMO"/>
    <s v="INESTABILIDAD EN VARO"/>
    <s v="1 SET DE EXTRACCIO PARA CLAVO DE TIBIA"/>
    <m/>
    <s v="ACEPTADO"/>
    <s v="PARANÁ"/>
    <x v="0"/>
    <m/>
  </r>
  <r>
    <x v="263"/>
    <s v="MENA JAVIER"/>
    <n v="25"/>
    <n v="41817663"/>
    <s v="YACOMO"/>
    <s v="LCA"/>
    <s v="1 BOTON 1 TORNILLO"/>
    <m/>
    <s v="ACEPTADO"/>
    <s v="BOVRIL"/>
    <x v="0"/>
    <m/>
  </r>
  <r>
    <x v="263"/>
    <s v="RODRIGUEZ ELISA "/>
    <m/>
    <n v="34586188"/>
    <s v="YACOMO"/>
    <s v="LCA"/>
    <s v="1 BOTON 1 TORNILLO"/>
    <m/>
    <s v="ACEPTADO"/>
    <s v="PARANÁ"/>
    <x v="0"/>
    <m/>
  </r>
  <r>
    <x v="264"/>
    <s v="OLIVERA GUSTAVO"/>
    <n v="57"/>
    <n v="18589631"/>
    <s v="URANGA "/>
    <s v="INESTABILIDAD VERTEBRAL"/>
    <s v="4 TORNILLO 2 BARRAS 1 PLIF 1 SUSTITUTO OSEO"/>
    <m/>
    <s v="ACEPTADO"/>
    <s v="GUALEGUAYCHU"/>
    <x v="0"/>
    <m/>
  </r>
  <r>
    <x v="264"/>
    <s v="Sosa Hector"/>
    <n v="69"/>
    <n v="11556312"/>
    <s v="STOPELLO"/>
    <s v="Coxartrosis"/>
    <s v="ptc de revision no cementada"/>
    <m/>
    <s v="ACEPTADO"/>
    <s v="PARANÁ"/>
    <x v="1"/>
    <m/>
  </r>
  <r>
    <x v="264"/>
    <s v="Villalba Gloria "/>
    <n v="67"/>
    <n v="13043501"/>
    <s v="STOPELLO"/>
    <s v="Gonartrosis"/>
    <s v="RTR"/>
    <m/>
    <s v="ACEPTADO"/>
    <s v="PARANÁ"/>
    <x v="1"/>
    <m/>
  </r>
  <r>
    <x v="264"/>
    <s v="Gomez Cristina "/>
    <n v="62"/>
    <n v="16166485"/>
    <s v="HERMIDA "/>
    <s v="Fx muñeca"/>
    <s v="placa edr hilera distal 2,7/3,5"/>
    <m/>
    <s v="ACEPTADO"/>
    <s v="PARANÁ"/>
    <x v="1"/>
    <m/>
  </r>
  <r>
    <x v="264"/>
    <s v="Rios Ramona"/>
    <n v="84"/>
    <n v="3935438"/>
    <s v="URANGA "/>
    <s v="Fx cadera"/>
    <s v="clavo gamma corto y largo"/>
    <m/>
    <s v="ACEPTADO"/>
    <s v="PARANÁ"/>
    <x v="1"/>
    <m/>
  </r>
  <r>
    <x v="265"/>
    <s v="TARABINI ELVIRA"/>
    <n v="66"/>
    <n v="13631032"/>
    <s v="URANGA "/>
    <s v="FX CADERA"/>
    <s v="1 PLACA DE FEMUR LCP 1 PLAA EN T 4,5 TORNILLOS CANULADOS"/>
    <m/>
    <s v="ACEPTADO"/>
    <s v="PARANÁ"/>
    <x v="1"/>
    <m/>
  </r>
  <r>
    <x v="266"/>
    <s v="SPINI BRIAN"/>
    <n v="18"/>
    <n v="47246470"/>
    <s v="UCEDO"/>
    <s v="1 PLACA 2,0 LCP 1 PLACA  2,7 1 PLACA 3,5 MM"/>
    <m/>
    <m/>
    <s v="ACEPTADO"/>
    <s v="PARANÁ"/>
    <x v="0"/>
    <m/>
  </r>
  <r>
    <x v="266"/>
    <s v="LINDAO MARY"/>
    <n v="38"/>
    <n v="32040048"/>
    <s v="PELEGRINI"/>
    <s v="1 BOTON 1 TORNILLO"/>
    <s v="LCA"/>
    <m/>
    <s v="ACEPTADO"/>
    <s v="GUALEGUAY"/>
    <x v="0"/>
    <m/>
  </r>
  <r>
    <x v="267"/>
    <s v="Romero Esteban"/>
    <n v="53"/>
    <n v="22165772"/>
    <s v="UCEDO"/>
    <s v="PROTESIS DE RODILLA"/>
    <s v="AMPUTACION SUPRACONDILEA"/>
    <m/>
    <s v="ACEPTADO"/>
    <s v="PARANÁ"/>
    <x v="0"/>
    <m/>
  </r>
  <r>
    <x v="267"/>
    <s v="BERGARA LIASAR"/>
    <n v="70"/>
    <n v="11200286"/>
    <m/>
    <s v="PTR IZQUIERDA"/>
    <s v="GENU VARO"/>
    <m/>
    <s v="ACEPTADO"/>
    <s v="PARANÁ"/>
    <x v="1"/>
    <m/>
  </r>
  <r>
    <x v="268"/>
    <s v="Rodriguez Lidia"/>
    <n v="63"/>
    <n v="14693518"/>
    <m/>
    <s v="Gonartrosis"/>
    <s v="PTR "/>
    <m/>
    <s v="ACEPTADO"/>
    <s v="VIALE"/>
    <x v="1"/>
    <m/>
  </r>
  <r>
    <x v="268"/>
    <s v="LOPEZ JORGE"/>
    <n v="71"/>
    <n v="10744485"/>
    <s v="URANGA "/>
    <s v="CLAVO ENDOMEDULAR"/>
    <s v="FX DE HUMERO"/>
    <m/>
    <s v="ACEPTADO"/>
    <s v="PARANÁ"/>
    <x v="1"/>
    <m/>
  </r>
  <r>
    <x v="268"/>
    <s v="MARTINEZ LIDIA"/>
    <n v="63"/>
    <n v="14817036"/>
    <s v="CATRIEL GODOY"/>
    <s v="GONARTROSIS"/>
    <s v="PTR DERECHA"/>
    <m/>
    <s v="ACEPTADO"/>
    <s v="ALCARAZ"/>
    <x v="1"/>
    <m/>
  </r>
  <r>
    <x v="268"/>
    <s v="DAMONTE LAUTARO"/>
    <n v="33"/>
    <n v="35706488"/>
    <s v="URANGA "/>
    <s v="FX FEMUR "/>
    <s v="1 GAMMA 1 T CANULADO 3,5 MM"/>
    <m/>
    <s v="ACEPTADO"/>
    <s v="PARANÁ"/>
    <x v="0"/>
    <m/>
  </r>
  <r>
    <x v="269"/>
    <s v="Arce Andres"/>
    <n v="42"/>
    <n v="29597683"/>
    <s v="YACOMO"/>
    <s v="1 BOTON 1 TORNILLO"/>
    <s v="LCA"/>
    <m/>
    <s v="ACEPTADO"/>
    <s v="Paraná"/>
    <x v="0"/>
    <m/>
  </r>
  <r>
    <x v="269"/>
    <s v="BAEZ MARIA"/>
    <n v="72"/>
    <n v="5139036"/>
    <s v="URANGA "/>
    <s v="FX PROXIMAL DE HUMERO"/>
    <s v="1 PLACA PHILOS 1 TORNILLO CANU 3,5 4.5 Y 6.5"/>
    <m/>
    <s v="ACEPTADO"/>
    <s v="PARANÁ"/>
    <x v="1"/>
    <m/>
  </r>
  <r>
    <x v="270"/>
    <s v="Soñez Angel"/>
    <n v="54"/>
    <n v="21839506"/>
    <s v="URANGA "/>
    <s v="Diastasis sinfisis"/>
    <s v="5 placas 3,5 4,5 1 t canulado 4,5 1 t cortical 3,5 4,5 1 set de pelvis"/>
    <m/>
    <s v="ACEPTADO"/>
    <s v="PARANÁ"/>
    <x v="1"/>
    <m/>
  </r>
  <r>
    <x v="270"/>
    <s v="Loss Raquel"/>
    <n v="67"/>
    <n v="12757642"/>
    <s v="GARCIA VITOR"/>
    <s v="gonalgia"/>
    <s v="PTR "/>
    <m/>
    <s v="ACEPTADO"/>
    <s v="PARANÁ"/>
    <x v="1"/>
    <m/>
  </r>
  <r>
    <x v="271"/>
    <s v="CHAVEZ SANDRA"/>
    <n v="52"/>
    <n v="22463332"/>
    <s v="PELEGRINI"/>
    <s v="LCA"/>
    <s v="1 BOTON 1 TORNILLO"/>
    <m/>
    <s v="ACEPTADO"/>
    <s v="LA PAZ"/>
    <x v="0"/>
    <m/>
  </r>
  <r>
    <x v="271"/>
    <s v="Alfaro Ceferina"/>
    <n v="82"/>
    <n v="4274826"/>
    <s v="URANGA "/>
    <s v="fx cadera"/>
    <s v="clavo gamma   largo"/>
    <m/>
    <s v="ACEPTADO"/>
    <s v="PARANÁ"/>
    <x v="1"/>
    <m/>
  </r>
  <r>
    <x v="272"/>
    <s v="Metz Roger"/>
    <n v="45"/>
    <n v="27157429"/>
    <s v="THEAUX"/>
    <s v="Fx cadera"/>
    <s v="ptc no cementada"/>
    <m/>
    <s v="ACEPTADO"/>
    <s v="Paraná"/>
    <x v="0"/>
    <m/>
  </r>
  <r>
    <x v="272"/>
    <s v="Maldonado Alexis"/>
    <n v="35"/>
    <n v="34467428"/>
    <s v="VENTURI"/>
    <m/>
    <s v="1 TORNILLO TIPO BAROUK "/>
    <m/>
    <s v="ACEPTADO"/>
    <s v="LUCAS GONZALEZ"/>
    <x v="0"/>
    <m/>
  </r>
  <r>
    <x v="272"/>
    <s v="Marchioli Carlos"/>
    <n v="67"/>
    <n v="13353563"/>
    <s v="VENTURI"/>
    <s v="artrosis"/>
    <s v="ptr anatomica"/>
    <m/>
    <s v="ACEPTADO"/>
    <s v="PARANÁ"/>
    <x v="1"/>
    <m/>
  </r>
  <r>
    <x v="272"/>
    <s v="Breccia Mirta"/>
    <n v="77"/>
    <n v="5480038"/>
    <s v="GARCIA VITOR"/>
    <s v="OSTEOARTRITIS DE CADERA"/>
    <s v="PTC CEMENTADA COTILO DOBLE MOV"/>
    <m/>
    <s v="ACEPTADO"/>
    <s v="PARANÁ"/>
    <x v="1"/>
    <m/>
  </r>
  <r>
    <x v="273"/>
    <s v="Fernandez Virginia"/>
    <n v="47"/>
    <n v="26150347"/>
    <s v="SUKSDORF"/>
    <s v="luxofractura de humero"/>
    <m/>
    <m/>
    <s v="ACEPTADO"/>
    <s v="Paraná"/>
    <x v="0"/>
    <m/>
  </r>
  <r>
    <x v="274"/>
    <s v="Gonzalez Juan"/>
    <n v="45"/>
    <n v="26809937"/>
    <s v="CESAR MEYNET"/>
    <s v="coxalgia"/>
    <s v="1 ptc no cementada "/>
    <m/>
    <s v="ACEPTADO"/>
    <s v="Paraná"/>
    <x v="0"/>
    <m/>
  </r>
  <r>
    <x v="274"/>
    <s v="ACOSTA FERNANDO"/>
    <n v="31"/>
    <n v="36831573"/>
    <s v="YACOMO"/>
    <m/>
    <s v="1 BOTON 1 TORNILLO PUNTA DE SHAVER"/>
    <m/>
    <s v="ACEPTADO"/>
    <s v="CRESPO"/>
    <x v="0"/>
    <m/>
  </r>
  <r>
    <x v="275"/>
    <s v="Arzamendia Rodolfo"/>
    <n v="54"/>
    <n v="22233615"/>
    <s v="THEAUX"/>
    <s v="Genu Varo"/>
    <s v="1 ptr cementada"/>
    <m/>
    <s v="ACEPTADO"/>
    <s v="PARANÁ"/>
    <x v="0"/>
    <m/>
  </r>
  <r>
    <x v="275"/>
    <s v="Aguilar Juan"/>
    <n v="60"/>
    <n v="16796449"/>
    <s v="URANGA "/>
    <s v="Diastasis sinfisis"/>
    <s v="5 placas 3,5 4,5 1 t canulado 4,5 1 t cortical 3,5 4,5 1 set de pelvis"/>
    <m/>
    <s v="ACEPTADO"/>
    <s v="PARANÁ"/>
    <x v="1"/>
    <m/>
  </r>
  <r>
    <x v="275"/>
    <s v="Ramirez Victor"/>
    <n v="63"/>
    <n v="14294757"/>
    <s v="URANGA "/>
    <s v="Fx femur "/>
    <s v="1Placa condilea para femur 4,5 1 clavo retrogrado"/>
    <m/>
    <s v="ACEPTADO"/>
    <s v="PARANÁ"/>
    <x v="1"/>
    <m/>
  </r>
  <r>
    <x v="275"/>
    <s v="MOLINA MARIA"/>
    <n v="66"/>
    <n v="12284626"/>
    <s v="URANGA "/>
    <s v="FX PERONE"/>
    <s v="1 PLACA TERCIO TUBO"/>
    <m/>
    <s v="ACEPTADO"/>
    <s v="PARANÁ"/>
    <x v="1"/>
    <m/>
  </r>
  <r>
    <x v="276"/>
    <s v="GODETTI MARIA"/>
    <m/>
    <n v="24487179"/>
    <s v="URANGA "/>
    <s v="FX DE MUÑECA"/>
    <s v="PLACA edr hilera distal 2,7/3,5"/>
    <m/>
    <s v="ACEPTADO"/>
    <s v="PARANÁ"/>
    <x v="1"/>
    <m/>
  </r>
  <r>
    <x v="276"/>
    <s v="GOMEZ PATRICIA"/>
    <n v="50"/>
    <n v="23975416"/>
    <s v="JACOB"/>
    <s v="INESTABILIDAD LUMBAR"/>
    <s v="1CAGE1DOSIS DE SUSTITUTO 1 SIST DE COLOCACON A PRESTAMO P EVOCADOS"/>
    <m/>
    <s v="ACEPTADO"/>
    <m/>
    <x v="0"/>
    <m/>
  </r>
  <r>
    <x v="276"/>
    <s v="RAU JEREMIAS"/>
    <n v="22"/>
    <n v="43340750"/>
    <s v="CATRIEL GODOY"/>
    <s v="PSEUDOATROSIS"/>
    <s v="1 TUTOR EXTERNO PARA TIBIA"/>
    <m/>
    <s v="ACEPTADO"/>
    <s v="LUCAS GONZALEZ"/>
    <x v="0"/>
    <m/>
  </r>
  <r>
    <x v="276"/>
    <s v="Colman Gonzalo "/>
    <n v="31"/>
    <n v="36861463"/>
    <s v="CATRIEL GODOY"/>
    <s v="FX DE RADIO Y CUBITO"/>
    <s v="1 PLACA DCP 3.5"/>
    <m/>
    <s v="ACEPTADO"/>
    <s v="GRAL RAMIREZ"/>
    <x v="0"/>
    <m/>
  </r>
  <r>
    <x v="276"/>
    <s v="SANABRIA MATIAS"/>
    <n v="35"/>
    <n v="35442442"/>
    <s v="MERLINI"/>
    <s v="FX ESPINA TIBIAL DERECHA"/>
    <s v="2 SUTURAS 1 GUIA 1 ATRAPA SUT 1 SIST ANC 1 MECHA CAN 1 BOTON"/>
    <m/>
    <s v="ACEPTADO"/>
    <m/>
    <x v="0"/>
    <m/>
  </r>
  <r>
    <x v="276"/>
    <s v="SILVA ISIDRA"/>
    <n v="82"/>
    <n v="4269950"/>
    <s v="URANGA "/>
    <s v="PTC THOMPSON"/>
    <s v="FX CADERA IZQ"/>
    <m/>
    <s v="ACEPTADO"/>
    <s v="PARANÁ"/>
    <x v="1"/>
    <m/>
  </r>
  <r>
    <x v="276"/>
    <s v="COUDRON NOEMI"/>
    <n v="94"/>
    <n v="5055286"/>
    <s v="URANGA "/>
    <s v="PTC THOMPSON"/>
    <s v="FX CADERA IZQ"/>
    <m/>
    <s v="ACEPTADO"/>
    <s v="PARANÁ"/>
    <x v="1"/>
    <m/>
  </r>
  <r>
    <x v="276"/>
    <s v="LOPEZ ANTONIO"/>
    <n v="77"/>
    <n v="8421055"/>
    <s v="URANGA "/>
    <s v="ESPACIADOR"/>
    <s v="INFECCION EN SITIO QX"/>
    <m/>
    <s v="ACEPTADO"/>
    <s v="PARANÁ"/>
    <x v="1"/>
    <m/>
  </r>
  <r>
    <x v="276"/>
    <s v="ESCOBAR SILVANA"/>
    <n v="44"/>
    <n v="27837960"/>
    <s v="COLLOMB"/>
    <s v="RUP TENDON"/>
    <s v="2 ARPONES "/>
    <m/>
    <s v="ACEPTADO"/>
    <s v="CRESPO"/>
    <x v="0"/>
    <m/>
  </r>
  <r>
    <x v="276"/>
    <s v="SANTA CRUZ NICOLAS"/>
    <n v="25"/>
    <n v="41910312"/>
    <s v="CESAR MEYNET"/>
    <s v="LCA"/>
    <s v="1 BOTON 1 TORNILLO"/>
    <m/>
    <s v="ACEPTADO"/>
    <s v="SANTA ELENA "/>
    <x v="0"/>
    <m/>
  </r>
  <r>
    <x v="277"/>
    <s v="MIÑO LUCRECIA"/>
    <m/>
    <n v="29566110"/>
    <s v="GARCIA VITOR"/>
    <s v="LUXACION DE CADERA"/>
    <s v="ptc no cementada"/>
    <m/>
    <s v="ACEPTADO"/>
    <s v="SEGUI"/>
    <x v="0"/>
    <m/>
  </r>
  <r>
    <x v="277"/>
    <s v="GEA SANCHEZ JOSE"/>
    <n v="47"/>
    <n v="25236865"/>
    <s v="YACOMO"/>
    <m/>
    <s v="3 ARPONES 5MM"/>
    <m/>
    <s v="ACEPTADO"/>
    <s v="PARANÁ"/>
    <x v="0"/>
    <m/>
  </r>
  <r>
    <x v="277"/>
    <s v="Lescano Mari"/>
    <n v="89"/>
    <n v="1680006"/>
    <s v="URANGA "/>
    <s v="Fx proximal de humero"/>
    <s v="1 placa philos 1 t cnulados 3,4 4,5 6,5 mm"/>
    <m/>
    <s v="ACEPTADO"/>
    <s v="PARANÁ"/>
    <x v="1"/>
    <m/>
  </r>
  <r>
    <x v="278"/>
    <s v="BERNINI MARIA"/>
    <m/>
    <n v="1680006"/>
    <s v="URANGA "/>
    <s v="FX PROXIMAL DE HUMERO"/>
    <s v="1 PLACA PHILOS 1 TORNILLO CANU 3,5 4.5 Y 6.5"/>
    <m/>
    <s v="ACEPTADO"/>
    <s v="PARANÁ"/>
    <x v="1"/>
    <m/>
  </r>
  <r>
    <x v="279"/>
    <s v="CAMPISTROUS ELSA"/>
    <n v="94"/>
    <n v="512857"/>
    <s v="URANGA "/>
    <s v="FX CADERA"/>
    <s v="CLAVO GAMMA"/>
    <m/>
    <s v="ACEPTADO"/>
    <s v="PARANÁ"/>
    <x v="1"/>
    <m/>
  </r>
  <r>
    <x v="279"/>
    <s v="AUBERT GLADYS "/>
    <n v="67"/>
    <n v="13668546"/>
    <s v="MERLINI"/>
    <s v="PLACA EDR"/>
    <s v="FX MUÑECA"/>
    <m/>
    <s v="ACEPTADO"/>
    <s v="PARANÁ"/>
    <x v="1"/>
    <m/>
  </r>
  <r>
    <x v="280"/>
    <s v="AXT ROMUALDO"/>
    <n v="76"/>
    <n v="8440356"/>
    <s v="MERLINI"/>
    <s v="GAMMA"/>
    <s v="FX CADERA IZQ"/>
    <m/>
    <s v="ACEPTADO"/>
    <s v="PARANÁ"/>
    <x v="1"/>
    <m/>
  </r>
  <r>
    <x v="280"/>
    <s v="ESPINDOLA ALEXIS"/>
    <n v="24"/>
    <n v="42581589"/>
    <s v="HERMIDA "/>
    <s v="LCA"/>
    <s v="1 BOTON 1 TORNILLO"/>
    <m/>
    <s v="ACEPTADO"/>
    <s v="BOVRIL"/>
    <x v="0"/>
    <m/>
  </r>
  <r>
    <x v="280"/>
    <s v="PUNTIN MARIA LOURDES"/>
    <n v="28"/>
    <n v="39258752"/>
    <s v="HERMIDA "/>
    <s v="LCA"/>
    <s v="1 BOTON 1 TORNILLO"/>
    <m/>
    <s v="ACEPTADO"/>
    <s v="PARANÁ"/>
    <x v="0"/>
    <m/>
  </r>
  <r>
    <x v="280"/>
    <s v="MOLINA ALICIA"/>
    <n v="44"/>
    <n v="27813606"/>
    <s v="GARCIA VITOR"/>
    <s v="OSTEOARTRITIS DE CADERA"/>
    <s v="ptc no cementada"/>
    <m/>
    <s v="ACEPTADO"/>
    <s v="PARANÁ"/>
    <x v="0"/>
    <m/>
  </r>
  <r>
    <x v="280"/>
    <s v="RUIZ DIAZ DAIANA"/>
    <n v="41"/>
    <n v="29988272"/>
    <s v="NARVAEZ"/>
    <s v="HALLUX VALGUS"/>
    <s v="T CANULADO O BAROUK"/>
    <m/>
    <s v="ACEPTADO"/>
    <s v="PARANÁ"/>
    <x v="0"/>
    <m/>
  </r>
  <r>
    <x v="280"/>
    <s v="ZATTI OMAR"/>
    <n v="64"/>
    <n v="13691303"/>
    <s v="GARCIA VITOR"/>
    <s v="OSTEOARTRITIS DE CADERA"/>
    <s v="ptc no cementada"/>
    <m/>
    <s v="ACEPTADO"/>
    <s v="NOGOYA"/>
    <x v="0"/>
    <m/>
  </r>
  <r>
    <x v="281"/>
    <s v="MONZON STELLA MARIS"/>
    <n v="65"/>
    <n v="13883598"/>
    <s v="URANGA "/>
    <s v="PHACA PHILOS T CANULADOS"/>
    <m/>
    <m/>
    <s v="ACEPTADO"/>
    <s v="PARANÁ"/>
    <x v="1"/>
    <m/>
  </r>
  <r>
    <x v="281"/>
    <s v="CASTRO RUBEN"/>
    <n v="73"/>
    <n v="13877895"/>
    <s v="GARCIA VITOR"/>
    <s v="GONARTROSIS"/>
    <s v="1 ptr cementada"/>
    <m/>
    <s v="ACEPTADO"/>
    <s v="SANTA ELENA "/>
    <x v="0"/>
    <m/>
  </r>
  <r>
    <x v="282"/>
    <s v="SUAREZ ELVIRA"/>
    <n v="71"/>
    <n v="10074491"/>
    <s v="URANGA "/>
    <s v="FX HUMERO"/>
    <s v="1 PLACA PHILOS 1 TORNILLO CANU 3,5 4.5 Y 6.5"/>
    <m/>
    <s v="ACEPTADO"/>
    <s v="PARANÁ"/>
    <x v="1"/>
    <m/>
  </r>
  <r>
    <x v="283"/>
    <s v="ARACENAS MORENO"/>
    <n v="27"/>
    <n v="40563131"/>
    <s v="HERMIDA "/>
    <s v="LCA"/>
    <s v="1 BOTON 1 TORNILLO"/>
    <m/>
    <s v="ACEPTADO"/>
    <s v="VILLAGUAY"/>
    <x v="0"/>
    <m/>
  </r>
  <r>
    <x v="283"/>
    <s v="BERNET YOLANDA"/>
    <n v="76"/>
    <n v="5890208"/>
    <s v="URANGA "/>
    <s v="FX CADERA"/>
    <s v="1 CLAVO GAMMA"/>
    <m/>
    <s v="ACEPTADO"/>
    <s v="PARANÁ"/>
    <x v="0"/>
    <m/>
  </r>
  <r>
    <x v="284"/>
    <s v="Quiroga Brian"/>
    <n v="24"/>
    <n v="42972037"/>
    <s v="PELEGRINI"/>
    <s v="LCA"/>
    <s v="1 boton 1 tornillo"/>
    <m/>
    <s v="ACEPTADO"/>
    <s v="C del Uruguay"/>
    <x v="0"/>
    <m/>
  </r>
  <r>
    <x v="284"/>
    <s v="Muñoz Matias"/>
    <n v="19"/>
    <n v="46603455"/>
    <s v="PELEGRINI"/>
    <s v="LCA"/>
    <s v="1 boton 1 tornillo"/>
    <m/>
    <s v="ACEPTADO"/>
    <s v="PARANÁ"/>
    <x v="0"/>
    <m/>
  </r>
  <r>
    <x v="284"/>
    <s v="Galiano Nelida"/>
    <n v="77"/>
    <n v="3735449"/>
    <s v="URANGA "/>
    <s v="PTC Y COTILO DOBLE MOVILIDAD"/>
    <m/>
    <m/>
    <s v="ACEPTADO"/>
    <s v="PARANÁ"/>
    <x v="1"/>
    <m/>
  </r>
  <r>
    <x v="285"/>
    <s v="Ubiedo Maria"/>
    <n v="67"/>
    <n v="12224599"/>
    <s v="HERMIDA "/>
    <s v="fx muñeca"/>
    <s v="placa edr doble hilera"/>
    <m/>
    <s v="ACEPTADO"/>
    <s v="PARANÁ"/>
    <x v="1"/>
    <m/>
  </r>
  <r>
    <x v="286"/>
    <s v="Geist Ramon"/>
    <n v="65"/>
    <n v="13024534"/>
    <s v="GARCIA VITOR"/>
    <s v="Pseudoartrosis de tibia"/>
    <s v="1 clavo endomedular 1 destornillador"/>
    <m/>
    <s v="ACEPTADO"/>
    <s v="DIAMANTE"/>
    <x v="0"/>
    <m/>
  </r>
  <r>
    <x v="286"/>
    <s v="Ojeda Irina"/>
    <n v="26"/>
    <n v="40991275"/>
    <s v="HERMIDA "/>
    <s v="LCA"/>
    <s v="1 boton 1 tornillo"/>
    <m/>
    <s v="ACEPTADO"/>
    <s v="Villaguay"/>
    <x v="0"/>
    <m/>
  </r>
  <r>
    <x v="287"/>
    <s v="Schmidt Dora "/>
    <n v="75"/>
    <n v="6196122"/>
    <s v="CESAR MEYNET"/>
    <s v="PTC CEMENTADA Y COTILO DOBLE MOVILIDAD"/>
    <m/>
    <m/>
    <s v="ACEPTADO"/>
    <s v="PARANÁ"/>
    <x v="1"/>
    <m/>
  </r>
  <r>
    <x v="288"/>
    <s v="Palacio Elba "/>
    <n v="70"/>
    <n v="11034659"/>
    <s v="GARCIA VITOR"/>
    <s v="PTC CEMENTADA Y COTILO DOBLE MOVILIDAD"/>
    <m/>
    <m/>
    <s v="ACEPTADO"/>
    <s v="PARANÁ"/>
    <x v="1"/>
    <m/>
  </r>
  <r>
    <x v="289"/>
    <s v="Romeo Rosa"/>
    <n v="53"/>
    <n v="22024973"/>
    <s v="UCEDO"/>
    <s v="Hallux Valgus"/>
    <s v="1 torn tipo herbert"/>
    <m/>
    <s v="ACEPTADO"/>
    <s v="CERRITO"/>
    <x v="0"/>
    <m/>
  </r>
  <r>
    <x v="289"/>
    <s v="Iris Daiana"/>
    <n v="34"/>
    <n v="35558592"/>
    <s v="UCEDO"/>
    <s v="artrosis periastragalina"/>
    <s v="1 clavo de tibia endomedular acerrojado1 placa tercio de tubo "/>
    <m/>
    <s v="ACEPTADO"/>
    <s v="Federal"/>
    <x v="0"/>
    <m/>
  </r>
  <r>
    <x v="289"/>
    <s v="Grandoli Micaela"/>
    <n v="75"/>
    <n v="5710745"/>
    <s v="UCEDO"/>
    <s v="Hallux Valgus"/>
    <s v="1T barouk 2 clavijas 2,0 y 2 1,5 mm"/>
    <m/>
    <s v="ACEPTADO"/>
    <s v="PARANÁ"/>
    <x v="1"/>
    <m/>
  </r>
  <r>
    <x v="290"/>
    <s v="Largheri Susana"/>
    <m/>
    <n v="12756268"/>
    <s v="URANGA "/>
    <s v="Canulados 3,5 4,0 4,5 placa tercio tubo"/>
    <m/>
    <m/>
    <s v="ACEPTADO"/>
    <s v="PARANÁ"/>
    <x v="1"/>
    <m/>
  </r>
  <r>
    <x v="290"/>
    <s v="EICHHORN NORMA "/>
    <m/>
    <n v="5912272"/>
    <s v="MERLINI"/>
    <s v="CLAVO ENDOMEDULAR"/>
    <m/>
    <m/>
    <s v="ACEPTADO"/>
    <s v="PARANÁ"/>
    <x v="1"/>
    <m/>
  </r>
  <r>
    <x v="291"/>
    <s v="Aprile Monica"/>
    <n v="64"/>
    <n v="14094913"/>
    <s v="STOPELLO"/>
    <s v="GONARTROSIS"/>
    <s v="RTR"/>
    <m/>
    <s v="ACEPTADO"/>
    <s v="PARANÁ"/>
    <x v="1"/>
    <m/>
  </r>
  <r>
    <x v="291"/>
    <s v="JUMILLA MARIA"/>
    <n v="69"/>
    <n v="11536220"/>
    <s v="MERLINI"/>
    <s v="FX PERIPROTESICA"/>
    <s v="PTC NO CEMENTADA PLACA CABLE ALAMBRE, COTILO D MOV"/>
    <m/>
    <s v="ACEPTADO"/>
    <s v="PARANÁ"/>
    <x v="1"/>
    <m/>
  </r>
  <r>
    <x v="291"/>
    <s v="CORONEL MARIA"/>
    <n v="57"/>
    <n v="17897339"/>
    <s v="STOPELLO"/>
    <s v="COXARTROSIS"/>
    <s v="PTC DERECHA NO CEMENTADA"/>
    <m/>
    <s v="ACEPTADO"/>
    <s v="PARANÁ"/>
    <x v="1"/>
    <m/>
  </r>
  <r>
    <x v="291"/>
    <s v="RODRIGUEZ RAUL"/>
    <n v="72"/>
    <n v="10069537"/>
    <s v="YACOMO"/>
    <s v="GONARTROSIS"/>
    <s v="RTR "/>
    <m/>
    <s v="ACEPTADO"/>
    <s v="PARANÁ"/>
    <x v="1"/>
    <m/>
  </r>
  <r>
    <x v="292"/>
    <s v="FINUCHI DORA"/>
    <n v="77"/>
    <n v="5395092"/>
    <m/>
    <s v="FX DE CADERA"/>
    <s v="3 TORNILLOS CANULADOS 6,5 MM CON ARANDELA"/>
    <m/>
    <s v="ACEPTADO"/>
    <s v="PARANÁ"/>
    <x v="1"/>
    <m/>
  </r>
  <r>
    <x v="293"/>
    <s v="Brochero Aixa"/>
    <n v="26"/>
    <n v="40838895"/>
    <s v="NARVAEZ"/>
    <s v="1 clavo endomedular"/>
    <m/>
    <m/>
    <s v="ACEPTADO"/>
    <s v="Viale"/>
    <x v="0"/>
    <m/>
  </r>
  <r>
    <x v="293"/>
    <s v="Lell Miriam"/>
    <n v="63"/>
    <n v="14787043"/>
    <s v="MERLINI"/>
    <s v="LUXO FX DE TOBILLO"/>
    <m/>
    <m/>
    <s v="ACEPTADO"/>
    <s v="PARANÁ"/>
    <x v="1"/>
    <m/>
  </r>
  <r>
    <x v="294"/>
    <s v="MARTINEZ MODESTA "/>
    <n v="86"/>
    <n v="2722528"/>
    <s v="URANGA "/>
    <s v="FX PROXIMAL DE HUMERO"/>
    <m/>
    <m/>
    <s v="ACEPTADO"/>
    <s v="PARANÁ"/>
    <x v="1"/>
    <m/>
  </r>
  <r>
    <x v="295"/>
    <s v="Martinez Marina"/>
    <n v="57"/>
    <n v="18243447"/>
    <s v="YACOMO"/>
    <s v="RTR "/>
    <s v="GONARTROSI"/>
    <m/>
    <s v="ACEPTADO"/>
    <s v="PARANÁ"/>
    <x v="0"/>
    <m/>
  </r>
  <r>
    <x v="295"/>
    <s v="GARCIA MIRTA "/>
    <n v="77"/>
    <n v="5321660"/>
    <s v="URANGA "/>
    <s v="FX EXPUESTA CODO IZQ"/>
    <s v="PLCA LCP P HUMERO PLACA RECONSTRUCCION T CANULADOS PLACA LCP 2 CLAVIJAS "/>
    <m/>
    <s v="ACEPTADO"/>
    <m/>
    <x v="1"/>
    <m/>
  </r>
  <r>
    <x v="296"/>
    <s v="ZAPATA GREGORIA"/>
    <n v="65"/>
    <n v="13631405"/>
    <s v="URANGA "/>
    <s v="FX DE CADERA"/>
    <s v="clavo gamma "/>
    <m/>
    <s v="ACEPTADO"/>
    <s v="PARANÁ"/>
    <x v="1"/>
    <m/>
  </r>
  <r>
    <x v="296"/>
    <s v="ACOSTA DOMINGA "/>
    <n v="81"/>
    <n v="4583360"/>
    <s v="URANGA "/>
    <s v="fx de cadera"/>
    <s v="clavo gamma "/>
    <m/>
    <s v="ACEPTADO"/>
    <s v="Paraná"/>
    <x v="1"/>
    <m/>
  </r>
  <r>
    <x v="297"/>
    <s v="GEA SANCHEZ JOSE"/>
    <n v="47"/>
    <n v="25236865"/>
    <s v="YACOMO"/>
    <s v="RUP DE CUADRICIPITAL"/>
    <s v="3 ARPONES 5 MM"/>
    <m/>
    <s v="ACEPTADO"/>
    <s v="PARANÁ"/>
    <x v="0"/>
    <m/>
  </r>
  <r>
    <x v="298"/>
    <s v="GORO LEONOR"/>
    <n v="71"/>
    <n v="10824141"/>
    <s v="URANGA "/>
    <s v="FX HUMERO"/>
    <s v="CLAVO ENDOMEDULAR PLACA DCP"/>
    <m/>
    <s v="ACEPTADO"/>
    <s v="PARANÁ"/>
    <x v="1"/>
    <m/>
  </r>
  <r>
    <x v="299"/>
    <s v="PORTALUPPI LIRA"/>
    <n v="82"/>
    <n v="3198706"/>
    <m/>
    <s v="FX DE CADERA"/>
    <s v="PROTESIS THOMPSON"/>
    <s v="VILLALBA"/>
    <s v="ACEPTADO"/>
    <s v="PARANÁ"/>
    <x v="1"/>
    <m/>
  </r>
  <r>
    <x v="299"/>
    <s v="PRADAL ANGELICA"/>
    <n v="72"/>
    <n v="10281156"/>
    <s v="MERLINI"/>
    <s v="FX DE MUÑECA"/>
    <s v="PLACA EDR DOBLE HILERA"/>
    <s v="VILLALBA"/>
    <s v="ACEPTADO"/>
    <s v="PARANÁ"/>
    <x v="1"/>
    <m/>
  </r>
  <r>
    <x v="299"/>
    <s v="CIARROCA STELLA MARIS"/>
    <n v="66"/>
    <n v="14772993"/>
    <s v="MERLINI"/>
    <s v="FX DE MUÑECA"/>
    <s v="PLACA EDR DOBLE HILERA"/>
    <s v="VILLALBA"/>
    <s v="ACEPTADO"/>
    <s v="PARANÁ"/>
    <x v="1"/>
    <m/>
  </r>
  <r>
    <x v="300"/>
    <s v="DELBENE STELLA MARIS"/>
    <n v="66"/>
    <n v="12772731"/>
    <s v="MERLINI"/>
    <s v="FX TOBILLO "/>
    <s v="TORNILLOS,PLACA 3/1"/>
    <s v="VILLALBA"/>
    <s v="ACEPTADO"/>
    <s v="PARANÁ"/>
    <x v="1"/>
    <m/>
  </r>
  <r>
    <x v="300"/>
    <s v="IRASTORZA TERESA"/>
    <n v="84"/>
    <n v="1428030"/>
    <s v="MERLINI"/>
    <s v="FX CADERA"/>
    <s v="CLAVO GAMMA"/>
    <s v="VILLALBA"/>
    <s v="ACEPTADO"/>
    <s v="PARANÁ"/>
    <x v="1"/>
    <m/>
  </r>
  <r>
    <x v="300"/>
    <s v="MONTI RUEDA GINO"/>
    <n v="18"/>
    <n v="47528215"/>
    <s v="PELEGRINI"/>
    <s v="RUPTURA LCA"/>
    <s v="BOTON CORTICAL, TORNILLO"/>
    <m/>
    <s v="ACEPTADO"/>
    <s v="PARANÁ"/>
    <x v="0"/>
    <m/>
  </r>
  <r>
    <x v="300"/>
    <s v="MAZZEI EVA MARIA"/>
    <n v="75"/>
    <n v="5710758"/>
    <s v="MERLINI"/>
    <s v="FX DE HUMERO"/>
    <s v="PTC DE HOMBRO"/>
    <s v="VILLALBA"/>
    <s v="ACEPTADO"/>
    <s v="CERRITO"/>
    <x v="1"/>
    <m/>
  </r>
  <r>
    <x v="300"/>
    <s v="HIROZ"/>
    <n v="89"/>
    <n v="1680551"/>
    <s v="MERLINI"/>
    <s v="FX DE CADERA"/>
    <s v="CLAVO GAMMA"/>
    <s v="VILLALBA"/>
    <s v="ACEPTADO"/>
    <s v="PARANÁ"/>
    <x v="1"/>
    <m/>
  </r>
  <r>
    <x v="301"/>
    <s v="BRESSAN GRACIELA"/>
    <n v="73"/>
    <n v="6557013"/>
    <s v="MERLINI"/>
    <s v="FX DE MUÑECA"/>
    <s v="PLACA EDR DOBLE HILERA"/>
    <s v="VILLALBA"/>
    <s v="ACEPTADO"/>
    <s v="PARANÁ"/>
    <x v="1"/>
    <m/>
  </r>
  <r>
    <x v="302"/>
    <s v="ACOSTA ALICIA"/>
    <n v="68"/>
    <n v="12313708"/>
    <s v="STOPELLO"/>
    <s v="GONALGIA"/>
    <s v="PTR"/>
    <s v="VILLALBA"/>
    <s v="ACEPTADO"/>
    <s v="PARANÁ"/>
    <x v="1"/>
    <m/>
  </r>
  <r>
    <x v="302"/>
    <s v="CARDOZO STELLA MARIS"/>
    <n v="67"/>
    <n v="13182176"/>
    <s v="GARCIA VITOR"/>
    <s v="LUX PROTESIS CAD"/>
    <s v="TALLO CEMENTADO/ANILLO"/>
    <s v="VILLALBA"/>
    <s v="ACEPTADO"/>
    <s v="PARANÁ"/>
    <x v="1"/>
    <m/>
  </r>
  <r>
    <x v="303"/>
    <s v="RODRIGUEZ ELSA MARTA"/>
    <n v="82"/>
    <n v="5219371"/>
    <m/>
    <s v="FX DE CADERA"/>
    <s v="PTC DE CADERA"/>
    <s v="VILLALBA"/>
    <s v="ACEPTADO"/>
    <s v="PARANÁ"/>
    <x v="1"/>
    <m/>
  </r>
  <r>
    <x v="303"/>
    <s v="GAUNA KEVIN"/>
    <m/>
    <n v="41819313"/>
    <s v="YACOMO"/>
    <s v="LCA"/>
    <s v="BOTON CORTICAL, TORNILLO"/>
    <m/>
    <s v="ACEPTADO"/>
    <s v="PARANÁ"/>
    <x v="0"/>
    <m/>
  </r>
  <r>
    <x v="304"/>
    <s v="BERTA VIDA DEL CARMEN"/>
    <n v="69"/>
    <n v="12313711"/>
    <s v="MERLINI"/>
    <s v="FX DE CADERA"/>
    <s v="PTC. COTILO."/>
    <s v="VILLALBA"/>
    <s v="ACEPTADO"/>
    <s v="PARANÁ"/>
    <x v="1"/>
    <m/>
  </r>
  <r>
    <x v="305"/>
    <s v="SOSA HILDA "/>
    <n v="83"/>
    <n v="3939532"/>
    <m/>
    <s v="FX DE CADERA"/>
    <s v="CLAVO GAMMA"/>
    <s v="VILLALBA"/>
    <s v="ACEPTADO"/>
    <s v="PARANÁ"/>
    <x v="1"/>
    <m/>
  </r>
  <r>
    <x v="306"/>
    <s v="LEDESMA ROSALIA"/>
    <m/>
    <n v="13353811"/>
    <s v="MERLINI"/>
    <s v="FX DE MUÑECA"/>
    <s v="PLACA EDR DOBLE HILERA"/>
    <s v="VILLALBA"/>
    <s v="ACEPTADO"/>
    <s v="PARANÁ"/>
    <x v="1"/>
    <m/>
  </r>
  <r>
    <x v="306"/>
    <s v="SCHUNK LUIS"/>
    <n v="58"/>
    <n v="17814653"/>
    <s v="CESAR MEYNET"/>
    <s v="DISPLACIA.CAD"/>
    <s v="PTC"/>
    <m/>
    <s v="ACEPTADO"/>
    <s v="BOVRIL"/>
    <x v="0"/>
    <m/>
  </r>
  <r>
    <x v="307"/>
    <s v="MULLER HELMA LEA"/>
    <n v="89"/>
    <n v="2620733"/>
    <s v="MERLINI"/>
    <s v="FX DE CADERA"/>
    <s v="CLAVO GAMMA"/>
    <s v="VILLALBA"/>
    <s v="ACEPTADO"/>
    <s v="PARANÁ"/>
    <x v="1"/>
    <m/>
  </r>
  <r>
    <x v="307"/>
    <s v="CRUZ NESTOR"/>
    <n v="51"/>
    <n v="26765322"/>
    <s v="MERLINI"/>
    <s v="ESTRECHO LUMB"/>
    <s v="SIST. RETRACTOR. SIST.LED"/>
    <m/>
    <s v="ACEPTADO"/>
    <m/>
    <x v="0"/>
    <m/>
  </r>
  <r>
    <x v="308"/>
    <s v="DEMUTTE BEATRIZ PIEDAD"/>
    <n v="75"/>
    <n v="5717977"/>
    <m/>
    <s v="ESTRECHO LUMB"/>
    <s v="SISTEMA FIJACION COLUMN"/>
    <s v="VILLALBA"/>
    <s v="ACEPTADO"/>
    <s v="PARANÁ"/>
    <x v="1"/>
    <m/>
  </r>
  <r>
    <x v="309"/>
    <s v="SCHONHALS ERNESTO"/>
    <n v="79"/>
    <n v="5951212"/>
    <s v="YACOMO"/>
    <s v="FX DE COLUMNA"/>
    <s v="SET CIFOPLASTIA"/>
    <s v="VILLALBA"/>
    <s v="ACEPTADO"/>
    <s v="PARANÁ"/>
    <x v="1"/>
    <m/>
  </r>
  <r>
    <x v="309"/>
    <s v="GILES LUISA MATILDE"/>
    <n v="74"/>
    <n v="6211475"/>
    <s v="MERLINI"/>
    <s v="FX DE CADERA"/>
    <s v="CLAVO GAMMA"/>
    <s v="VILLALBA"/>
    <s v="ACEPTADO"/>
    <s v="PARANÁ"/>
    <x v="1"/>
    <m/>
  </r>
  <r>
    <x v="309"/>
    <s v="ALARCON MAXIMA GRE"/>
    <n v="83"/>
    <n v="3938667"/>
    <s v="MERLINI"/>
    <s v="FX DE CADERA"/>
    <s v="PTC. COTILO."/>
    <s v="VILLALBA"/>
    <s v="ACEPTADO"/>
    <s v="PARANÁ"/>
    <x v="1"/>
    <m/>
  </r>
  <r>
    <x v="310"/>
    <s v="MANETTI MIGUEL"/>
    <n v="71"/>
    <n v="11200300"/>
    <s v="HERMIDA "/>
    <s v="RTR"/>
    <m/>
    <s v="VILLALBA"/>
    <s v="ACEPTADO"/>
    <s v="PARANÁ"/>
    <x v="1"/>
    <m/>
  </r>
  <r>
    <x v="311"/>
    <s v="Herrera German"/>
    <n v="57"/>
    <n v="18243695"/>
    <s v="URANGA "/>
    <s v="Lumbalgia"/>
    <s v="4 tornillos 1 plif 1 sustituto oseo"/>
    <m/>
    <s v="ACEPTADO"/>
    <s v="Paraná"/>
    <x v="0"/>
    <m/>
  </r>
  <r>
    <x v="312"/>
    <s v="Colliar Andrea"/>
    <n v="33"/>
    <n v="36208670"/>
    <s v="GARCIA VITOR"/>
    <s v="Genu Varo"/>
    <s v="placa tipo tomofix "/>
    <m/>
    <s v="ACEPTADO"/>
    <s v="Paraná"/>
    <x v="0"/>
    <m/>
  </r>
  <r>
    <x v="312"/>
    <s v="Fontana Maria"/>
    <n v="76"/>
    <n v="5912058"/>
    <s v="URANGA "/>
    <s v="fx muñeca"/>
    <s v="placa edr doble  hilera distal 2,7/3,5 mm"/>
    <m/>
    <s v="ACEPTADO"/>
    <s v="PARANÁ"/>
    <x v="1"/>
    <m/>
  </r>
  <r>
    <x v="312"/>
    <s v="FACELI ISABEL"/>
    <n v="71"/>
    <n v="10190226"/>
    <s v="UCEDO"/>
    <s v="FX DE PLATILLO TIBIAL"/>
    <s v="CANULADOS PLACAS T TERCIO TUBO "/>
    <m/>
    <s v="ACEPTADO"/>
    <s v="PARANÁ"/>
    <x v="1"/>
    <m/>
  </r>
  <r>
    <x v="313"/>
    <s v="Ruiz Juan Alberto"/>
    <n v="41"/>
    <n v="39840077"/>
    <s v="UCEDO"/>
    <s v="Pie Plano"/>
    <s v="1 placa 2,0 mm y 2,7 mm 1 tornillo de esponjosa can 4,5 mm 1 placa 3,5 mm"/>
    <m/>
    <s v="ACEPTADO"/>
    <s v="Paraná"/>
    <x v="0"/>
    <m/>
  </r>
  <r>
    <x v="313"/>
    <s v="Cena Evangelina"/>
    <n v="74"/>
    <n v="6244145"/>
    <s v="VENTURI"/>
    <s v="Fx de muñeca"/>
    <s v="placa edr doble  hilera distal 2,7/3,5 mm"/>
    <m/>
    <s v="ACEPTADO"/>
    <s v="PARANÁ"/>
    <x v="1"/>
    <m/>
  </r>
  <r>
    <x v="313"/>
    <s v="ALBARRACIN BLANCA"/>
    <n v="72"/>
    <n v="10499284"/>
    <s v="VENTURI"/>
    <s v="GONARTROSIS"/>
    <s v="RTR ANATOMICA"/>
    <m/>
    <s v="ACEPTADO"/>
    <s v="PARANÁ"/>
    <x v="1"/>
    <m/>
  </r>
  <r>
    <x v="313"/>
    <s v="BERTOLDI LUIS"/>
    <n v="80"/>
    <n v="5951133"/>
    <s v="UCEDO"/>
    <s v="HALLUX VALGUS"/>
    <s v="TORNILLO TIPO BAROU CANULADOS 3,0 MM CLAVIJAS 2,0 Y 1,5 MM"/>
    <m/>
    <s v="ACEPTADO"/>
    <s v="PARANÁ"/>
    <x v="1"/>
    <m/>
  </r>
  <r>
    <x v="314"/>
    <s v="GARCIA GREGORIO"/>
    <n v="76"/>
    <n v="7654188"/>
    <s v="STOPELLO"/>
    <s v="1 RTR"/>
    <s v="GONARTROSIS"/>
    <m/>
    <s v="ACEPTADO"/>
    <s v="PARANÁ"/>
    <x v="1"/>
    <m/>
  </r>
  <r>
    <x v="315"/>
    <s v="Salvetti Silvina"/>
    <n v="41"/>
    <n v="30104150"/>
    <s v="GARCIA VITOR"/>
    <s v="Lesion osteocondral de rodilla izq"/>
    <s v="1 set de microfracturas y osaicoplastia para rodilla"/>
    <m/>
    <s v="ACEPTADO"/>
    <s v="La Paz"/>
    <x v="0"/>
    <m/>
  </r>
  <r>
    <x v="315"/>
    <s v="Torres Alvaro"/>
    <n v="16"/>
    <n v="49712156"/>
    <s v="GARCIA VITOR"/>
    <s v="lca"/>
    <s v="1 boton 2 tornillos de peek 1 arpon knoless 5 mm grampa set de fresaspara lca"/>
    <m/>
    <s v="ACEPTADO"/>
    <s v="Victoria"/>
    <x v="0"/>
    <m/>
  </r>
  <r>
    <x v="315"/>
    <s v="Monzon Nicolas "/>
    <n v="21"/>
    <n v="44735490"/>
    <s v="STOPELLO"/>
    <s v="LCA"/>
    <s v="1 BOTON TIPO KUROSAKA 2 BOTON F"/>
    <m/>
    <s v="ACEPTADO"/>
    <s v="NOGOYA"/>
    <x v="0"/>
    <m/>
  </r>
  <r>
    <x v="315"/>
    <s v="Rechach Carmen "/>
    <n v="46"/>
    <n v="26777724"/>
    <s v="STOPELLO"/>
    <s v="displasia de cadera"/>
    <s v="1 ptc no cementada"/>
    <m/>
    <s v="ACEPTADO"/>
    <s v="Herrera"/>
    <x v="0"/>
    <m/>
  </r>
  <r>
    <x v="315"/>
    <s v="Dominguez Sara"/>
    <n v="72"/>
    <n v="10681050"/>
    <s v="GARCIA VITOR"/>
    <s v="coxartrosis"/>
    <s v="ptc de revision no cementada"/>
    <m/>
    <s v="ACEPTADO"/>
    <s v="PARANÁ"/>
    <x v="1"/>
    <m/>
  </r>
  <r>
    <x v="315"/>
    <s v="Del matto Mirna"/>
    <n v="86"/>
    <n v="3672765"/>
    <s v="URANGA "/>
    <s v="Fx de cadera"/>
    <s v="clavo gamma"/>
    <m/>
    <s v="ACEPTADO"/>
    <s v="PARANÁ"/>
    <x v="1"/>
    <m/>
  </r>
  <r>
    <x v="315"/>
    <s v="WAGNER OLGA"/>
    <m/>
    <m/>
    <s v="GARCIA VITOR"/>
    <m/>
    <s v="CANULADOS 6,5 MM "/>
    <m/>
    <s v="ACEPTADO"/>
    <s v="PARANÁ"/>
    <x v="1"/>
    <m/>
  </r>
  <r>
    <x v="316"/>
    <s v="FRASCONA JOSE"/>
    <n v="84"/>
    <n v="5935727"/>
    <s v="URANGA "/>
    <s v="FX DE HOMBRO"/>
    <s v="PROTESIS T DE HOMBRO"/>
    <m/>
    <s v="ACEPTADO"/>
    <s v="PARANÁ"/>
    <x v="1"/>
    <m/>
  </r>
  <r>
    <x v="317"/>
    <s v="CALBUCOY JUANA"/>
    <n v="73"/>
    <n v="18817474"/>
    <m/>
    <m/>
    <s v="RTR VASTAGOS Y CUÑAS"/>
    <m/>
    <s v="ACEPTADO"/>
    <s v="PARANÁ"/>
    <x v="1"/>
    <m/>
  </r>
  <r>
    <x v="318"/>
    <s v="SIBOLDI MARIA"/>
    <n v="69"/>
    <n v="11584770"/>
    <s v="COLLOMB"/>
    <s v="RUP DEL MANG ROT"/>
    <s v="2 ARPONES 3,5"/>
    <m/>
    <s v="ACEPTADO"/>
    <s v="PARANÁ"/>
    <x v="1"/>
    <m/>
  </r>
  <r>
    <x v="319"/>
    <s v="FONTANA ANA MARIA"/>
    <n v="94"/>
    <n v="5375872"/>
    <s v="URANGA "/>
    <s v="FX DE CADERA"/>
    <s v="THOMPSON"/>
    <m/>
    <s v="ACEPTADO"/>
    <s v="PARANÁ"/>
    <x v="1"/>
    <m/>
  </r>
  <r>
    <x v="320"/>
    <s v="Rosales Julio _"/>
    <n v="57"/>
    <n v="18582568"/>
    <s v="YACOMO"/>
    <s v="Genu Varo"/>
    <s v="1 placa puddu"/>
    <m/>
    <s v="ACEPTADO"/>
    <s v="Paraná"/>
    <x v="0"/>
    <m/>
  </r>
  <r>
    <x v="320"/>
    <s v="GRINOVERO MARTA"/>
    <n v="73"/>
    <m/>
    <s v="YACOMO"/>
    <s v="GONARTROSIS"/>
    <s v="RTR"/>
    <m/>
    <s v="ACEPTADO"/>
    <s v="PARANÁ"/>
    <x v="1"/>
    <m/>
  </r>
  <r>
    <x v="321"/>
    <s v="Cuevas Milton"/>
    <n v="17"/>
    <n v="48540479"/>
    <s v="STOPELLO"/>
    <s v="LCA"/>
    <s v="1BOTON 2 TORNILLOS"/>
    <m/>
    <s v="ACEPTADO"/>
    <s v="GUALEGUAY"/>
    <x v="0"/>
    <m/>
  </r>
  <r>
    <x v="321"/>
    <s v="ROMERO JUANA "/>
    <n v="70"/>
    <n v="11379917"/>
    <s v="STOPELLO"/>
    <s v="INFECCION PROTESICA"/>
    <s v="1 ESPACIADOR ARTICULADO 3 DOSIS DE CEMENTO CON ANT "/>
    <m/>
    <s v="ACEPTADO"/>
    <s v="PARANÁ"/>
    <x v="1"/>
    <m/>
  </r>
  <r>
    <x v="322"/>
    <s v="HILDEBRANDT TERESA"/>
    <n v="77"/>
    <n v="5402498"/>
    <s v="YACOMO"/>
    <s v="GONARTROSIS"/>
    <s v="RTR ANATOMICA"/>
    <s v="VILLALBA"/>
    <s v="ACEPTADO"/>
    <s v="PARANÁ"/>
    <x v="1"/>
    <m/>
  </r>
  <r>
    <x v="323"/>
    <s v="GAREIS MARIA"/>
    <n v="68"/>
    <n v="12064368"/>
    <s v="SUKSDORF"/>
    <s v="GENU VARO"/>
    <s v="RTR"/>
    <m/>
    <s v="ACEPTADO"/>
    <s v="PARANÁ"/>
    <x v="1"/>
    <m/>
  </r>
  <r>
    <x v="324"/>
    <s v="ORTMAN LIDIA"/>
    <n v="80"/>
    <n v="5007596"/>
    <s v="GARCIA VITOR"/>
    <s v="INFECCION PERIPROTESICA"/>
    <s v="ESPACIADOR DE CEMENTO CON ANTIBIOTICO 2 DOSIS DE CEMENTO CON ANTIBIOTICO "/>
    <m/>
    <s v="ACEPTADO"/>
    <m/>
    <x v="1"/>
    <m/>
  </r>
  <r>
    <x v="325"/>
    <s v="CACERES ALEJANDRA"/>
    <n v="58"/>
    <n v="18459353"/>
    <s v="STOPELLO"/>
    <s v="COXALGIA"/>
    <s v="PTC DE REVISION NO CEMENTADA DE FIJACION DISTAL"/>
    <m/>
    <s v="ACEPTADO"/>
    <s v="PARANÁ"/>
    <x v="1"/>
    <m/>
  </r>
  <r>
    <x v="326"/>
    <s v="Directer Catalina"/>
    <n v="73"/>
    <n v="6901638"/>
    <s v="URANGA "/>
    <s v="Fx de humero"/>
    <s v="clavo endomedular de humero"/>
    <m/>
    <s v="ACEPTADO"/>
    <s v="PARANÁ"/>
    <x v="1"/>
    <m/>
  </r>
  <r>
    <x v="327"/>
    <s v="Franco Juana"/>
    <m/>
    <n v="16795772"/>
    <s v="garabentos"/>
    <s v="Fx de muñeca"/>
    <s v="placa edr doble hilera distal bloqueada 3,5 mm"/>
    <m/>
    <s v="ACEPTADO"/>
    <s v="PARANÁ"/>
    <x v="1"/>
    <m/>
  </r>
  <r>
    <x v="327"/>
    <s v="Gauna Ramona"/>
    <m/>
    <n v="1022085"/>
    <s v="garabentos"/>
    <s v="Fx de cadera"/>
    <s v="PTC CEMENTADA COTILO DOBLE MOVILIDAD "/>
    <m/>
    <s v="ACEPTADO"/>
    <s v="PARANÁ"/>
    <x v="1"/>
    <m/>
  </r>
  <r>
    <x v="328"/>
    <s v="Giacomini Ruben"/>
    <m/>
    <n v="14604774"/>
    <s v="YACOMO"/>
    <s v="rtr"/>
    <s v="gonartrosis"/>
    <m/>
    <s v="ACEPTADO"/>
    <s v="PARANÁ"/>
    <x v="1"/>
    <m/>
  </r>
  <r>
    <x v="329"/>
    <s v="Rodriguez Leo"/>
    <n v="24"/>
    <n v="47521559"/>
    <s v="GARCIA VITOR"/>
    <s v="fx femur"/>
    <s v="3 cabezas de banco de femur"/>
    <m/>
    <s v="ACEPTADO"/>
    <s v="Gualeguay"/>
    <x v="0"/>
    <m/>
  </r>
  <r>
    <x v="322"/>
    <s v="VITOR EDUARDO"/>
    <n v="74"/>
    <n v="7622069"/>
    <m/>
    <s v="FX CADERA IZQ"/>
    <s v="CLAVO GAMMA"/>
    <s v="VILLABA"/>
    <s v="ACEPTADO"/>
    <s v="PARANÁ"/>
    <x v="1"/>
    <m/>
  </r>
  <r>
    <x v="323"/>
    <s v="MOREIRA HORACIO "/>
    <n v="69"/>
    <m/>
    <s v="URANGA "/>
    <s v="ESCOLISIS"/>
    <s v="BARRA/TORNI/PLIFF"/>
    <s v="IP MAGNA"/>
    <s v="ACEPTADO"/>
    <s v="PARANÁ"/>
    <x v="1"/>
    <m/>
  </r>
  <r>
    <x v="330"/>
    <m/>
    <m/>
    <m/>
    <m/>
    <m/>
    <m/>
    <m/>
    <m/>
    <m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76757-A288-46B6-87C5-E7D2508D9561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6">
  <location ref="A20:C25" firstHeaderRow="1" firstDataRow="3" firstDataCol="1"/>
  <pivotFields count="15">
    <pivotField numFmtId="14" showAll="0">
      <items count="332"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0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m="1" x="4"/>
        <item x="1"/>
        <item x="2"/>
        <item x="0"/>
        <item x="3"/>
        <item t="default"/>
      </items>
    </pivotField>
    <pivotField showAll="0"/>
    <pivotField axis="axisCol" showAll="0">
      <items count="15">
        <item h="1"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Col" showAll="0">
      <items count="6">
        <item h="1" sd="0" x="0"/>
        <item sd="0" x="1"/>
        <item h="1" sd="0" x="2"/>
        <item h="1" sd="0" x="3"/>
        <item h="1" x="4"/>
        <item t="default"/>
      </items>
    </pivotField>
  </pivotFields>
  <rowFields count="1">
    <field x="10"/>
  </rowFields>
  <rowItems count="3">
    <i>
      <x v="1"/>
    </i>
    <i>
      <x v="3"/>
    </i>
    <i t="grand">
      <x/>
    </i>
  </rowItems>
  <colFields count="2">
    <field x="14"/>
    <field x="12"/>
  </colFields>
  <colItems count="2">
    <i>
      <x v="1"/>
    </i>
    <i t="grand">
      <x/>
    </i>
  </colItems>
  <dataFields count="1">
    <dataField name="Cuenta de PACIENTE" fld="1" subtotal="count" baseField="0" baseItem="0"/>
  </dataFields>
  <formats count="22">
    <format dxfId="197">
      <pivotArea type="all" dataOnly="0" outline="0" fieldPosition="0"/>
    </format>
    <format dxfId="196">
      <pivotArea outline="0" collapsedLevelsAreSubtotals="1" fieldPosition="0"/>
    </format>
    <format dxfId="195">
      <pivotArea type="origin" dataOnly="0" labelOnly="1" outline="0" fieldPosition="0"/>
    </format>
    <format dxfId="194">
      <pivotArea field="14" type="button" dataOnly="0" labelOnly="1" outline="0" axis="axisCol" fieldPosition="0"/>
    </format>
    <format dxfId="193">
      <pivotArea field="12" type="button" dataOnly="0" labelOnly="1" outline="0" axis="axisCol" fieldPosition="1"/>
    </format>
    <format dxfId="192">
      <pivotArea type="topRight" dataOnly="0" labelOnly="1" outline="0" fieldPosition="0"/>
    </format>
    <format dxfId="191">
      <pivotArea field="10" type="button" dataOnly="0" labelOnly="1" outline="0" axis="axisRow" fieldPosition="0"/>
    </format>
    <format dxfId="190">
      <pivotArea dataOnly="0" labelOnly="1" fieldPosition="0">
        <references count="1">
          <reference field="10" count="0"/>
        </references>
      </pivotArea>
    </format>
    <format dxfId="189">
      <pivotArea dataOnly="0" labelOnly="1" grandRow="1" outline="0" fieldPosition="0"/>
    </format>
    <format dxfId="188">
      <pivotArea dataOnly="0" labelOnly="1" fieldPosition="0">
        <references count="1">
          <reference field="14" count="3">
            <x v="1"/>
            <x v="2"/>
            <x v="3"/>
          </reference>
        </references>
      </pivotArea>
    </format>
    <format dxfId="187">
      <pivotArea dataOnly="0" labelOnly="1" grandCol="1" outline="0" fieldPosition="0"/>
    </format>
    <format dxfId="186">
      <pivotArea type="all" dataOnly="0" outline="0" fieldPosition="0"/>
    </format>
    <format dxfId="185">
      <pivotArea outline="0" collapsedLevelsAreSubtotals="1" fieldPosition="0"/>
    </format>
    <format dxfId="184">
      <pivotArea type="origin" dataOnly="0" labelOnly="1" outline="0" fieldPosition="0"/>
    </format>
    <format dxfId="183">
      <pivotArea field="14" type="button" dataOnly="0" labelOnly="1" outline="0" axis="axisCol" fieldPosition="0"/>
    </format>
    <format dxfId="182">
      <pivotArea field="12" type="button" dataOnly="0" labelOnly="1" outline="0" axis="axisCol" fieldPosition="1"/>
    </format>
    <format dxfId="181">
      <pivotArea type="topRight" dataOnly="0" labelOnly="1" outline="0" fieldPosition="0"/>
    </format>
    <format dxfId="180">
      <pivotArea field="10" type="button" dataOnly="0" labelOnly="1" outline="0" axis="axisRow" fieldPosition="0"/>
    </format>
    <format dxfId="179">
      <pivotArea dataOnly="0" labelOnly="1" fieldPosition="0">
        <references count="1">
          <reference field="10" count="0"/>
        </references>
      </pivotArea>
    </format>
    <format dxfId="178">
      <pivotArea dataOnly="0" labelOnly="1" grandRow="1" outline="0" fieldPosition="0"/>
    </format>
    <format dxfId="177">
      <pivotArea dataOnly="0" labelOnly="1" fieldPosition="0">
        <references count="1">
          <reference field="14" count="3">
            <x v="1"/>
            <x v="2"/>
            <x v="3"/>
          </reference>
        </references>
      </pivotArea>
    </format>
    <format dxfId="176">
      <pivotArea dataOnly="0" labelOnly="1" grandCol="1" outline="0" fieldPosition="0"/>
    </format>
  </formats>
  <chartFormats count="26"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>
      <pivotArea type="data" outline="0" fieldPosition="0">
        <references count="3">
          <reference field="4294967294" count="1" selected="0">
            <x v="0"/>
          </reference>
          <reference field="10" count="1" selected="0">
            <x v="1"/>
          </reference>
          <reference field="14" count="1" selected="0">
            <x v="1"/>
          </reference>
        </references>
      </pivotArea>
    </chartFormat>
    <chartFormat chart="14" format="5">
      <pivotArea type="data" outline="0" fieldPosition="0">
        <references count="3">
          <reference field="4294967294" count="1" selected="0">
            <x v="0"/>
          </reference>
          <reference field="10" count="1" selected="0">
            <x v="2"/>
          </reference>
          <reference field="14" count="1" selected="0">
            <x v="1"/>
          </reference>
        </references>
      </pivotArea>
    </chartFormat>
    <chartFormat chart="14" format="6">
      <pivotArea type="data" outline="0" fieldPosition="0">
        <references count="3">
          <reference field="4294967294" count="1" selected="0">
            <x v="0"/>
          </reference>
          <reference field="10" count="1" selected="0">
            <x v="3"/>
          </reference>
          <reference field="14" count="1" selected="0">
            <x v="1"/>
          </reference>
        </references>
      </pivotArea>
    </chartFormat>
    <chartFormat chart="14" format="8">
      <pivotArea type="data" outline="0" fieldPosition="0">
        <references count="3">
          <reference field="4294967294" count="1" selected="0">
            <x v="0"/>
          </reference>
          <reference field="10" count="1" selected="0">
            <x v="1"/>
          </reference>
          <reference field="14" count="1" selected="0">
            <x v="2"/>
          </reference>
        </references>
      </pivotArea>
    </chartFormat>
    <chartFormat chart="14" format="9">
      <pivotArea type="data" outline="0" fieldPosition="0">
        <references count="3">
          <reference field="4294967294" count="1" selected="0">
            <x v="0"/>
          </reference>
          <reference field="10" count="1" selected="0">
            <x v="2"/>
          </reference>
          <reference field="14" count="1" selected="0">
            <x v="2"/>
          </reference>
        </references>
      </pivotArea>
    </chartFormat>
    <chartFormat chart="14" format="10">
      <pivotArea type="data" outline="0" fieldPosition="0">
        <references count="3">
          <reference field="4294967294" count="1" selected="0">
            <x v="0"/>
          </reference>
          <reference field="10" count="1" selected="0">
            <x v="3"/>
          </reference>
          <reference field="14" count="1" selected="0">
            <x v="2"/>
          </reference>
        </references>
      </pivotArea>
    </chartFormat>
    <chartFormat chart="14" format="12">
      <pivotArea type="data" outline="0" fieldPosition="0">
        <references count="3">
          <reference field="4294967294" count="1" selected="0">
            <x v="0"/>
          </reference>
          <reference field="10" count="1" selected="0">
            <x v="1"/>
          </reference>
          <reference field="14" count="1" selected="0">
            <x v="3"/>
          </reference>
        </references>
      </pivotArea>
    </chartFormat>
    <chartFormat chart="14" format="13">
      <pivotArea type="data" outline="0" fieldPosition="0">
        <references count="3">
          <reference field="4294967294" count="1" selected="0">
            <x v="0"/>
          </reference>
          <reference field="10" count="1" selected="0">
            <x v="2"/>
          </reference>
          <reference field="14" count="1" selected="0">
            <x v="3"/>
          </reference>
        </references>
      </pivotArea>
    </chartFormat>
    <chartFormat chart="14" format="14">
      <pivotArea type="data" outline="0" fieldPosition="0">
        <references count="3">
          <reference field="4294967294" count="1" selected="0">
            <x v="0"/>
          </reference>
          <reference field="10" count="1" selected="0">
            <x v="3"/>
          </reference>
          <reference field="14" count="1" selected="0">
            <x v="3"/>
          </reference>
        </references>
      </pivotArea>
    </chartFormat>
    <chartFormat chart="39" format="0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39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39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50" format="0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50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50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53" format="0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53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53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59" format="0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59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59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59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PEDIDO" xr10:uid="{F1010DAB-C353-457F-B7A2-A7EB801BC63F}" sourceName="Años (FECHA PEDIDO)">
  <pivotTables>
    <pivotTable tabId="5" name="TablaDinámica1"/>
  </pivotTables>
  <data>
    <tabular pivotCacheId="1471072712">
      <items count="5">
        <i x="1" s="1"/>
        <i x="2"/>
        <i x="3"/>
        <i x="0" nd="1"/>
        <i x="4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PEDIDO" xr10:uid="{66894220-A3B8-4EAF-8F91-D122281D9E6B}" sourceName="Meses (FECHA PEDIDO)">
  <pivotTables>
    <pivotTable tabId="5" name="TablaDinámica1"/>
  </pivotTables>
  <data>
    <tabular pivotCacheId="1471072712">
      <items count="14">
        <i x="1" s="1"/>
        <i x="3"/>
        <i x="4"/>
        <i x="5"/>
        <i x="6"/>
        <i x="7"/>
        <i x="8"/>
        <i x="9"/>
        <i x="11"/>
        <i x="12"/>
        <i x="2" nd="1"/>
        <i x="10" nd="1"/>
        <i x="0" nd="1"/>
        <i x="1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s (FECHA PEDIDO) 1" xr10:uid="{109DA7D0-72E1-4D88-8E6C-686DCEDB08B6}" cache="SegmentaciónDeDatos_Años__FECHA_PEDIDO" caption="Años (FECHA PEDIDO)" lockedPosition="1" rowHeight="241300"/>
  <slicer name="Meses (FECHA PEDIDO)" xr10:uid="{581324F7-BC8E-4B33-B2FD-8947A0C7AEA6}" cache="SegmentaciónDeDatos_Meses__FECHA_PEDIDO" caption="Meses (FECHA PEDIDO)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89AA88-4F71-4257-B358-B21C7325944C}" name="Datos" displayName="Datos" ref="A1:K854" totalsRowShown="0" headerRowDxfId="210" dataDxfId="209" tableBorderDxfId="208">
  <autoFilter ref="A1:K854" xr:uid="{D789AA88-4F71-4257-B358-B21C7325944C}"/>
  <sortState xmlns:xlrd2="http://schemas.microsoft.com/office/spreadsheetml/2017/richdata2" ref="A2:K854">
    <sortCondition ref="A1:A854"/>
  </sortState>
  <tableColumns count="11">
    <tableColumn id="1" xr3:uid="{2B5B52D4-693F-4AB0-BE90-4CF87F33DD2F}" name="FECHA PEDIDO"/>
    <tableColumn id="2" xr3:uid="{1A72A90A-A034-4CFF-9F3D-02D29F8796A6}" name="PACIENTE" dataDxfId="207"/>
    <tableColumn id="3" xr3:uid="{D156D068-2EE9-47F6-812D-D19A4C2191A7}" name="EDAD" dataDxfId="206"/>
    <tableColumn id="5" xr3:uid="{43DEFEF5-03F3-4C66-B4AA-FC380F52357B}" name="CIRUJANO" dataDxfId="205"/>
    <tableColumn id="6" xr3:uid="{9D26DD2F-52FE-4EEA-BF4C-5534A4F3A595}" name="CIRUGIA" dataDxfId="204"/>
    <tableColumn id="7" xr3:uid="{24005586-D846-4DDD-8163-86C867F8FF2B}" name="MATERIAL" dataDxfId="203"/>
    <tableColumn id="8" xr3:uid="{6F05862B-3DA6-40D6-938E-7F337639A91E}" name="ORTOPEDIA" dataDxfId="202"/>
    <tableColumn id="9" xr3:uid="{C17010D6-DD33-434D-B838-83E0CBB04361}" name="ESTADO " dataDxfId="201"/>
    <tableColumn id="10" xr3:uid="{A0FF4873-01EF-43AC-9D2B-E3B50B8CDD79}" name="LOCALIDAD" dataDxfId="200"/>
    <tableColumn id="11" xr3:uid="{DF4C1189-3375-4633-AFCF-9EB500B84375}" name="OBRA SOCIAL" dataDxfId="199"/>
    <tableColumn id="12" xr3:uid="{0423CEE1-0197-4790-97C8-98694AA102B7}" name="TELEFONO" dataDxfId="19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1">
    <tabColor rgb="FFFFC000"/>
  </sheetPr>
  <dimension ref="A1:K854"/>
  <sheetViews>
    <sheetView tabSelected="1" zoomScaleNormal="100" workbookViewId="0">
      <pane ySplit="1" topLeftCell="A2" activePane="bottomLeft" state="frozen"/>
      <selection pane="bottomLeft" activeCell="F12" sqref="F12"/>
    </sheetView>
  </sheetViews>
  <sheetFormatPr baseColWidth="10" defaultRowHeight="15" x14ac:dyDescent="0.25"/>
  <cols>
    <col min="1" max="1" width="20.5703125" style="12" customWidth="1"/>
    <col min="2" max="2" width="29.28515625" style="6" bestFit="1" customWidth="1"/>
    <col min="3" max="3" width="9.7109375" style="6" customWidth="1"/>
    <col min="4" max="4" width="16.85546875" style="6" bestFit="1" customWidth="1"/>
    <col min="5" max="5" width="29.7109375" style="6" customWidth="1"/>
    <col min="6" max="6" width="44.7109375" style="6" customWidth="1"/>
    <col min="7" max="7" width="32" style="6" customWidth="1"/>
    <col min="8" max="8" width="14.85546875" style="6" bestFit="1" customWidth="1"/>
    <col min="9" max="9" width="16.7109375" style="6" bestFit="1" customWidth="1"/>
    <col min="10" max="10" width="12.140625" style="6" customWidth="1"/>
    <col min="11" max="11" width="15.7109375" style="6" customWidth="1"/>
    <col min="12" max="16384" width="11.42578125" style="6"/>
  </cols>
  <sheetData>
    <row r="1" spans="1:11" s="3" customFormat="1" ht="15.75" x14ac:dyDescent="0.25">
      <c r="A1" s="1" t="s">
        <v>4</v>
      </c>
      <c r="B1" s="2" t="s">
        <v>1660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6</v>
      </c>
      <c r="H1" s="2" t="s">
        <v>540</v>
      </c>
      <c r="I1" s="2" t="s">
        <v>5</v>
      </c>
      <c r="J1" s="2" t="s">
        <v>7</v>
      </c>
      <c r="K1" s="2" t="s">
        <v>1659</v>
      </c>
    </row>
    <row r="2" spans="1:11" x14ac:dyDescent="0.25">
      <c r="A2" s="4">
        <v>44928</v>
      </c>
      <c r="B2" s="5" t="s">
        <v>664</v>
      </c>
      <c r="C2" s="5">
        <v>21</v>
      </c>
      <c r="D2" s="5" t="s">
        <v>665</v>
      </c>
      <c r="E2" s="5" t="s">
        <v>666</v>
      </c>
      <c r="F2" s="5" t="s">
        <v>667</v>
      </c>
      <c r="G2" s="5"/>
      <c r="H2" s="5" t="s">
        <v>59</v>
      </c>
      <c r="I2" s="5" t="s">
        <v>825</v>
      </c>
      <c r="J2" s="5" t="s">
        <v>24</v>
      </c>
      <c r="K2" s="5"/>
    </row>
    <row r="3" spans="1:11" x14ac:dyDescent="0.25">
      <c r="A3" s="10">
        <v>44930</v>
      </c>
      <c r="B3" s="9" t="s">
        <v>679</v>
      </c>
      <c r="C3" s="9">
        <v>73</v>
      </c>
      <c r="D3" s="8" t="s">
        <v>8</v>
      </c>
      <c r="E3" s="9" t="s">
        <v>680</v>
      </c>
      <c r="F3" s="9" t="s">
        <v>681</v>
      </c>
      <c r="G3" s="9" t="s">
        <v>33</v>
      </c>
      <c r="H3" s="5" t="s">
        <v>802</v>
      </c>
      <c r="I3" s="5" t="s">
        <v>825</v>
      </c>
      <c r="J3" s="9" t="s">
        <v>9</v>
      </c>
      <c r="K3" s="9"/>
    </row>
    <row r="4" spans="1:11" x14ac:dyDescent="0.25">
      <c r="A4" s="7">
        <v>44987</v>
      </c>
      <c r="B4" s="8" t="s">
        <v>10</v>
      </c>
      <c r="C4" s="8">
        <v>69</v>
      </c>
      <c r="D4" s="8" t="s">
        <v>16</v>
      </c>
      <c r="E4" s="8" t="s">
        <v>26</v>
      </c>
      <c r="F4" s="8" t="s">
        <v>19</v>
      </c>
      <c r="G4" s="8" t="s">
        <v>32</v>
      </c>
      <c r="H4" s="5" t="s">
        <v>802</v>
      </c>
      <c r="I4" s="5" t="s">
        <v>825</v>
      </c>
      <c r="J4" s="9" t="s">
        <v>9</v>
      </c>
      <c r="K4" s="5"/>
    </row>
    <row r="5" spans="1:11" x14ac:dyDescent="0.25">
      <c r="A5" s="10">
        <v>44987</v>
      </c>
      <c r="B5" s="9" t="s">
        <v>14</v>
      </c>
      <c r="C5" s="9">
        <v>75</v>
      </c>
      <c r="D5" s="9" t="s">
        <v>17</v>
      </c>
      <c r="E5" s="9" t="s">
        <v>27</v>
      </c>
      <c r="F5" s="9" t="s">
        <v>20</v>
      </c>
      <c r="G5" s="9" t="s">
        <v>33</v>
      </c>
      <c r="H5" s="5" t="s">
        <v>802</v>
      </c>
      <c r="I5" s="5" t="s">
        <v>825</v>
      </c>
      <c r="J5" s="9" t="s">
        <v>9</v>
      </c>
      <c r="K5" s="9">
        <v>3512123222</v>
      </c>
    </row>
    <row r="6" spans="1:11" x14ac:dyDescent="0.25">
      <c r="A6" s="4">
        <v>44987</v>
      </c>
      <c r="B6" s="5" t="s">
        <v>11</v>
      </c>
      <c r="C6" s="5">
        <v>35</v>
      </c>
      <c r="D6" s="8" t="s">
        <v>8</v>
      </c>
      <c r="E6" s="5" t="s">
        <v>28</v>
      </c>
      <c r="F6" s="5" t="s">
        <v>21</v>
      </c>
      <c r="G6" s="5"/>
      <c r="H6" s="5" t="s">
        <v>34</v>
      </c>
      <c r="I6" s="8" t="s">
        <v>25</v>
      </c>
      <c r="J6" s="5" t="s">
        <v>24</v>
      </c>
      <c r="K6" s="5"/>
    </row>
    <row r="7" spans="1:11" x14ac:dyDescent="0.25">
      <c r="A7" s="10">
        <v>44987</v>
      </c>
      <c r="B7" s="9" t="s">
        <v>12</v>
      </c>
      <c r="C7" s="9">
        <v>32</v>
      </c>
      <c r="D7" s="8" t="s">
        <v>8</v>
      </c>
      <c r="E7" s="9" t="s">
        <v>28</v>
      </c>
      <c r="F7" s="9" t="s">
        <v>21</v>
      </c>
      <c r="G7" s="9"/>
      <c r="H7" s="9" t="s">
        <v>34</v>
      </c>
      <c r="I7" s="5" t="s">
        <v>825</v>
      </c>
      <c r="J7" s="5" t="s">
        <v>24</v>
      </c>
      <c r="K7" s="9"/>
    </row>
    <row r="8" spans="1:11" x14ac:dyDescent="0.25">
      <c r="A8" s="4">
        <v>44988</v>
      </c>
      <c r="B8" s="8" t="s">
        <v>426</v>
      </c>
      <c r="C8" s="5">
        <v>87</v>
      </c>
      <c r="D8" s="5" t="s">
        <v>18</v>
      </c>
      <c r="E8" s="5" t="s">
        <v>125</v>
      </c>
      <c r="F8" s="5" t="s">
        <v>427</v>
      </c>
      <c r="G8" s="5" t="s">
        <v>159</v>
      </c>
      <c r="H8" s="5" t="s">
        <v>802</v>
      </c>
      <c r="I8" s="5" t="s">
        <v>825</v>
      </c>
      <c r="J8" s="9" t="s">
        <v>9</v>
      </c>
      <c r="K8" s="5"/>
    </row>
    <row r="9" spans="1:11" x14ac:dyDescent="0.25">
      <c r="A9" s="10">
        <v>44991</v>
      </c>
      <c r="B9" s="9" t="s">
        <v>13</v>
      </c>
      <c r="C9" s="9">
        <v>18</v>
      </c>
      <c r="D9" s="5" t="s">
        <v>18</v>
      </c>
      <c r="E9" s="9" t="s">
        <v>30</v>
      </c>
      <c r="F9" s="9" t="s">
        <v>22</v>
      </c>
      <c r="G9" s="9"/>
      <c r="H9" s="5" t="s">
        <v>802</v>
      </c>
      <c r="I9" s="5" t="s">
        <v>825</v>
      </c>
      <c r="J9" s="5" t="s">
        <v>24</v>
      </c>
      <c r="K9" s="9"/>
    </row>
    <row r="10" spans="1:11" s="11" customFormat="1" x14ac:dyDescent="0.25">
      <c r="A10" s="4">
        <v>44991</v>
      </c>
      <c r="B10" s="5" t="s">
        <v>15</v>
      </c>
      <c r="C10" s="5">
        <v>28</v>
      </c>
      <c r="D10" s="5" t="s">
        <v>18</v>
      </c>
      <c r="E10" s="5" t="s">
        <v>29</v>
      </c>
      <c r="F10" s="5" t="s">
        <v>23</v>
      </c>
      <c r="G10" s="5"/>
      <c r="H10" s="5" t="s">
        <v>34</v>
      </c>
      <c r="I10" s="5" t="s">
        <v>825</v>
      </c>
      <c r="J10" s="5" t="s">
        <v>24</v>
      </c>
      <c r="K10" s="5"/>
    </row>
    <row r="11" spans="1:11" s="11" customFormat="1" x14ac:dyDescent="0.25">
      <c r="A11" s="10">
        <v>44991</v>
      </c>
      <c r="B11" s="9" t="s">
        <v>52</v>
      </c>
      <c r="C11" s="9">
        <v>39</v>
      </c>
      <c r="D11" s="5" t="s">
        <v>18</v>
      </c>
      <c r="E11" s="9" t="s">
        <v>26</v>
      </c>
      <c r="F11" s="9" t="s">
        <v>53</v>
      </c>
      <c r="G11" s="9"/>
      <c r="H11" s="9" t="s">
        <v>34</v>
      </c>
      <c r="I11" s="5" t="s">
        <v>825</v>
      </c>
      <c r="J11" s="5" t="s">
        <v>24</v>
      </c>
      <c r="K11" s="9"/>
    </row>
    <row r="12" spans="1:11" x14ac:dyDescent="0.25">
      <c r="A12" s="4">
        <v>44992</v>
      </c>
      <c r="B12" s="5" t="s">
        <v>31</v>
      </c>
      <c r="C12" s="5">
        <v>82</v>
      </c>
      <c r="D12" s="8" t="s">
        <v>8</v>
      </c>
      <c r="E12" s="5" t="s">
        <v>28</v>
      </c>
      <c r="F12" s="5" t="s">
        <v>21</v>
      </c>
      <c r="G12" s="5" t="s">
        <v>33</v>
      </c>
      <c r="H12" s="5" t="s">
        <v>802</v>
      </c>
      <c r="I12" s="5" t="s">
        <v>825</v>
      </c>
      <c r="J12" s="9" t="s">
        <v>9</v>
      </c>
      <c r="K12" s="5"/>
    </row>
    <row r="13" spans="1:11" x14ac:dyDescent="0.25">
      <c r="A13" s="7">
        <v>44993</v>
      </c>
      <c r="B13" s="8" t="s">
        <v>96</v>
      </c>
      <c r="C13" s="8">
        <v>64</v>
      </c>
      <c r="D13" s="5" t="s">
        <v>18</v>
      </c>
      <c r="E13" s="8" t="s">
        <v>35</v>
      </c>
      <c r="F13" s="8" t="s">
        <v>36</v>
      </c>
      <c r="G13" s="8" t="s">
        <v>33</v>
      </c>
      <c r="H13" s="5" t="s">
        <v>802</v>
      </c>
      <c r="I13" s="5" t="s">
        <v>825</v>
      </c>
      <c r="J13" s="9" t="s">
        <v>9</v>
      </c>
      <c r="K13" s="8"/>
    </row>
    <row r="14" spans="1:11" s="11" customFormat="1" x14ac:dyDescent="0.25">
      <c r="A14" s="7">
        <v>44994</v>
      </c>
      <c r="B14" s="8" t="s">
        <v>37</v>
      </c>
      <c r="C14" s="8">
        <v>81</v>
      </c>
      <c r="D14" s="5" t="s">
        <v>18</v>
      </c>
      <c r="E14" s="8" t="s">
        <v>38</v>
      </c>
      <c r="F14" s="8" t="s">
        <v>39</v>
      </c>
      <c r="G14" s="8" t="s">
        <v>33</v>
      </c>
      <c r="H14" s="8" t="s">
        <v>95</v>
      </c>
      <c r="I14" s="5" t="s">
        <v>825</v>
      </c>
      <c r="J14" s="9" t="s">
        <v>9</v>
      </c>
      <c r="K14" s="8"/>
    </row>
    <row r="15" spans="1:11" x14ac:dyDescent="0.25">
      <c r="A15" s="10">
        <v>44994</v>
      </c>
      <c r="B15" s="9" t="s">
        <v>40</v>
      </c>
      <c r="C15" s="9">
        <v>78</v>
      </c>
      <c r="D15" s="8" t="s">
        <v>8</v>
      </c>
      <c r="E15" s="9" t="s">
        <v>41</v>
      </c>
      <c r="F15" s="9" t="s">
        <v>21</v>
      </c>
      <c r="G15" s="9" t="s">
        <v>33</v>
      </c>
      <c r="H15" s="5" t="s">
        <v>802</v>
      </c>
      <c r="I15" s="5" t="s">
        <v>825</v>
      </c>
      <c r="J15" s="9" t="s">
        <v>9</v>
      </c>
      <c r="K15" s="9">
        <v>154661141</v>
      </c>
    </row>
    <row r="16" spans="1:11" x14ac:dyDescent="0.25">
      <c r="A16" s="4">
        <v>44994</v>
      </c>
      <c r="B16" s="5" t="s">
        <v>42</v>
      </c>
      <c r="C16" s="5">
        <v>77</v>
      </c>
      <c r="D16" s="8" t="s">
        <v>8</v>
      </c>
      <c r="E16" s="5" t="s">
        <v>43</v>
      </c>
      <c r="F16" s="5" t="s">
        <v>21</v>
      </c>
      <c r="G16" s="5" t="s">
        <v>33</v>
      </c>
      <c r="H16" s="5" t="s">
        <v>802</v>
      </c>
      <c r="I16" s="5" t="s">
        <v>825</v>
      </c>
      <c r="J16" s="9" t="s">
        <v>9</v>
      </c>
      <c r="K16" s="5">
        <v>3434621560</v>
      </c>
    </row>
    <row r="17" spans="1:11" x14ac:dyDescent="0.25">
      <c r="A17" s="7">
        <v>44994</v>
      </c>
      <c r="B17" s="8" t="s">
        <v>44</v>
      </c>
      <c r="C17" s="8">
        <v>68</v>
      </c>
      <c r="D17" s="5" t="s">
        <v>18</v>
      </c>
      <c r="E17" s="8" t="s">
        <v>38</v>
      </c>
      <c r="F17" s="8" t="s">
        <v>21</v>
      </c>
      <c r="G17" s="8" t="s">
        <v>32</v>
      </c>
      <c r="H17" s="8" t="s">
        <v>95</v>
      </c>
      <c r="I17" s="5" t="s">
        <v>825</v>
      </c>
      <c r="J17" s="9" t="s">
        <v>9</v>
      </c>
      <c r="K17" s="8"/>
    </row>
    <row r="18" spans="1:11" x14ac:dyDescent="0.25">
      <c r="A18" s="4">
        <v>44994</v>
      </c>
      <c r="B18" s="5" t="s">
        <v>45</v>
      </c>
      <c r="C18" s="5">
        <v>71</v>
      </c>
      <c r="D18" s="9" t="s">
        <v>17</v>
      </c>
      <c r="E18" s="5" t="s">
        <v>46</v>
      </c>
      <c r="F18" s="5" t="s">
        <v>63</v>
      </c>
      <c r="G18" s="5" t="s">
        <v>33</v>
      </c>
      <c r="H18" s="5" t="s">
        <v>802</v>
      </c>
      <c r="I18" s="5" t="s">
        <v>825</v>
      </c>
      <c r="J18" s="9" t="s">
        <v>9</v>
      </c>
      <c r="K18" s="5"/>
    </row>
    <row r="19" spans="1:11" x14ac:dyDescent="0.25">
      <c r="A19" s="10">
        <v>44995</v>
      </c>
      <c r="B19" s="9" t="s">
        <v>47</v>
      </c>
      <c r="C19" s="9"/>
      <c r="D19" s="8" t="s">
        <v>8</v>
      </c>
      <c r="E19" s="9" t="s">
        <v>50</v>
      </c>
      <c r="F19" s="9" t="s">
        <v>49</v>
      </c>
      <c r="G19" s="9"/>
      <c r="H19" s="5" t="s">
        <v>802</v>
      </c>
      <c r="I19" s="9" t="s">
        <v>48</v>
      </c>
      <c r="J19" s="5" t="s">
        <v>24</v>
      </c>
      <c r="K19" s="9">
        <v>3435617122</v>
      </c>
    </row>
    <row r="20" spans="1:11" x14ac:dyDescent="0.25">
      <c r="A20" s="4">
        <v>44995</v>
      </c>
      <c r="B20" s="5" t="s">
        <v>51</v>
      </c>
      <c r="C20" s="5">
        <v>35</v>
      </c>
      <c r="D20" s="8" t="s">
        <v>8</v>
      </c>
      <c r="E20" s="5" t="s">
        <v>50</v>
      </c>
      <c r="F20" s="5" t="s">
        <v>49</v>
      </c>
      <c r="G20" s="5"/>
      <c r="H20" s="5" t="s">
        <v>802</v>
      </c>
      <c r="I20" s="5" t="s">
        <v>825</v>
      </c>
      <c r="J20" s="5" t="s">
        <v>24</v>
      </c>
      <c r="K20" s="5">
        <v>3434259271</v>
      </c>
    </row>
    <row r="21" spans="1:11" s="11" customFormat="1" x14ac:dyDescent="0.25">
      <c r="A21" s="10">
        <v>44995</v>
      </c>
      <c r="B21" s="9" t="s">
        <v>54</v>
      </c>
      <c r="C21" s="9">
        <v>35</v>
      </c>
      <c r="D21" s="8" t="s">
        <v>8</v>
      </c>
      <c r="E21" s="9" t="s">
        <v>56</v>
      </c>
      <c r="F21" s="9" t="s">
        <v>57</v>
      </c>
      <c r="G21" s="9"/>
      <c r="H21" s="9" t="s">
        <v>34</v>
      </c>
      <c r="I21" s="8" t="s">
        <v>55</v>
      </c>
      <c r="J21" s="5" t="s">
        <v>24</v>
      </c>
      <c r="K21" s="9"/>
    </row>
    <row r="22" spans="1:11" x14ac:dyDescent="0.25">
      <c r="A22" s="4">
        <v>44999</v>
      </c>
      <c r="B22" s="5" t="s">
        <v>58</v>
      </c>
      <c r="C22" s="5">
        <v>42</v>
      </c>
      <c r="D22" s="5" t="s">
        <v>18</v>
      </c>
      <c r="E22" s="5" t="s">
        <v>26</v>
      </c>
      <c r="F22" s="5" t="s">
        <v>53</v>
      </c>
      <c r="G22" s="5"/>
      <c r="H22" s="5" t="s">
        <v>59</v>
      </c>
      <c r="I22" s="5" t="s">
        <v>825</v>
      </c>
      <c r="J22" s="5" t="s">
        <v>24</v>
      </c>
      <c r="K22" s="5"/>
    </row>
    <row r="23" spans="1:11" s="11" customFormat="1" x14ac:dyDescent="0.25">
      <c r="A23" s="10">
        <v>44999</v>
      </c>
      <c r="B23" s="9" t="s">
        <v>60</v>
      </c>
      <c r="C23" s="9">
        <v>31</v>
      </c>
      <c r="D23" s="5" t="s">
        <v>18</v>
      </c>
      <c r="E23" s="9" t="s">
        <v>61</v>
      </c>
      <c r="F23" s="9" t="s">
        <v>62</v>
      </c>
      <c r="G23" s="9"/>
      <c r="H23" s="5" t="s">
        <v>34</v>
      </c>
      <c r="I23" s="5" t="s">
        <v>825</v>
      </c>
      <c r="J23" s="5" t="s">
        <v>24</v>
      </c>
      <c r="K23" s="9">
        <v>3436638740</v>
      </c>
    </row>
    <row r="24" spans="1:11" x14ac:dyDescent="0.25">
      <c r="A24" s="7">
        <v>44999</v>
      </c>
      <c r="B24" s="8" t="s">
        <v>79</v>
      </c>
      <c r="C24" s="8">
        <v>92</v>
      </c>
      <c r="D24" s="5" t="s">
        <v>18</v>
      </c>
      <c r="E24" s="8" t="s">
        <v>38</v>
      </c>
      <c r="F24" s="8" t="s">
        <v>39</v>
      </c>
      <c r="G24" s="8" t="s">
        <v>33</v>
      </c>
      <c r="H24" s="8" t="s">
        <v>95</v>
      </c>
      <c r="I24" s="5" t="s">
        <v>825</v>
      </c>
      <c r="J24" s="9" t="s">
        <v>9</v>
      </c>
      <c r="K24" s="8"/>
    </row>
    <row r="25" spans="1:11" x14ac:dyDescent="0.25">
      <c r="A25" s="10">
        <v>45001</v>
      </c>
      <c r="B25" s="9" t="s">
        <v>64</v>
      </c>
      <c r="C25" s="9">
        <v>76</v>
      </c>
      <c r="D25" s="9" t="s">
        <v>17</v>
      </c>
      <c r="E25" s="9" t="s">
        <v>46</v>
      </c>
      <c r="F25" s="9" t="s">
        <v>63</v>
      </c>
      <c r="G25" s="9" t="s">
        <v>33</v>
      </c>
      <c r="H25" s="5" t="s">
        <v>802</v>
      </c>
      <c r="I25" s="5" t="s">
        <v>825</v>
      </c>
      <c r="J25" s="9" t="s">
        <v>9</v>
      </c>
      <c r="K25" s="9"/>
    </row>
    <row r="26" spans="1:11" x14ac:dyDescent="0.25">
      <c r="A26" s="7">
        <v>45001</v>
      </c>
      <c r="B26" s="8" t="s">
        <v>65</v>
      </c>
      <c r="C26" s="8">
        <v>45</v>
      </c>
      <c r="D26" s="8" t="s">
        <v>8</v>
      </c>
      <c r="E26" s="8" t="s">
        <v>67</v>
      </c>
      <c r="F26" s="8" t="s">
        <v>66</v>
      </c>
      <c r="G26" s="8"/>
      <c r="H26" s="8" t="s">
        <v>34</v>
      </c>
      <c r="I26" s="5" t="s">
        <v>825</v>
      </c>
      <c r="J26" s="5" t="s">
        <v>24</v>
      </c>
      <c r="K26" s="8"/>
    </row>
    <row r="27" spans="1:11" s="11" customFormat="1" x14ac:dyDescent="0.25">
      <c r="A27" s="10">
        <v>45002</v>
      </c>
      <c r="B27" s="9" t="s">
        <v>68</v>
      </c>
      <c r="C27" s="9">
        <v>59</v>
      </c>
      <c r="D27" s="9" t="s">
        <v>17</v>
      </c>
      <c r="E27" s="9" t="s">
        <v>46</v>
      </c>
      <c r="F27" s="9" t="s">
        <v>70</v>
      </c>
      <c r="G27" s="9" t="s">
        <v>32</v>
      </c>
      <c r="H27" s="5" t="s">
        <v>802</v>
      </c>
      <c r="I27" s="5" t="s">
        <v>825</v>
      </c>
      <c r="J27" s="5" t="s">
        <v>24</v>
      </c>
      <c r="K27" s="9"/>
    </row>
    <row r="28" spans="1:11" x14ac:dyDescent="0.25">
      <c r="A28" s="4">
        <v>45002</v>
      </c>
      <c r="B28" s="5" t="s">
        <v>69</v>
      </c>
      <c r="C28" s="5">
        <v>59</v>
      </c>
      <c r="D28" s="9" t="s">
        <v>17</v>
      </c>
      <c r="E28" s="5" t="s">
        <v>46</v>
      </c>
      <c r="F28" s="5" t="s">
        <v>70</v>
      </c>
      <c r="G28" s="5" t="s">
        <v>32</v>
      </c>
      <c r="H28" s="5" t="s">
        <v>802</v>
      </c>
      <c r="I28" s="5" t="s">
        <v>825</v>
      </c>
      <c r="J28" s="9" t="s">
        <v>9</v>
      </c>
      <c r="K28" s="5"/>
    </row>
    <row r="29" spans="1:11" x14ac:dyDescent="0.25">
      <c r="A29" s="10">
        <v>45002</v>
      </c>
      <c r="B29" s="9" t="s">
        <v>71</v>
      </c>
      <c r="C29" s="9">
        <v>69</v>
      </c>
      <c r="D29" s="8" t="s">
        <v>8</v>
      </c>
      <c r="E29" s="9" t="s">
        <v>72</v>
      </c>
      <c r="F29" s="9" t="s">
        <v>63</v>
      </c>
      <c r="G29" s="9" t="s">
        <v>32</v>
      </c>
      <c r="H29" s="5" t="s">
        <v>802</v>
      </c>
      <c r="I29" s="5" t="s">
        <v>825</v>
      </c>
      <c r="J29" s="9" t="s">
        <v>9</v>
      </c>
      <c r="K29" s="9"/>
    </row>
    <row r="30" spans="1:11" s="11" customFormat="1" x14ac:dyDescent="0.25">
      <c r="A30" s="7">
        <v>45002</v>
      </c>
      <c r="B30" s="8" t="s">
        <v>73</v>
      </c>
      <c r="C30" s="8">
        <v>75</v>
      </c>
      <c r="D30" s="5" t="s">
        <v>18</v>
      </c>
      <c r="E30" s="8" t="s">
        <v>74</v>
      </c>
      <c r="F30" s="8" t="s">
        <v>75</v>
      </c>
      <c r="G30" s="8" t="s">
        <v>33</v>
      </c>
      <c r="H30" s="5" t="s">
        <v>802</v>
      </c>
      <c r="I30" s="5" t="s">
        <v>825</v>
      </c>
      <c r="J30" s="9" t="s">
        <v>9</v>
      </c>
      <c r="K30" s="8"/>
    </row>
    <row r="31" spans="1:11" x14ac:dyDescent="0.25">
      <c r="A31" s="10">
        <v>45002</v>
      </c>
      <c r="B31" s="9" t="s">
        <v>76</v>
      </c>
      <c r="C31" s="9">
        <v>68</v>
      </c>
      <c r="D31" s="9" t="s">
        <v>17</v>
      </c>
      <c r="E31" s="9" t="s">
        <v>46</v>
      </c>
      <c r="F31" s="9" t="s">
        <v>63</v>
      </c>
      <c r="G31" s="9" t="s">
        <v>32</v>
      </c>
      <c r="H31" s="5" t="s">
        <v>802</v>
      </c>
      <c r="I31" s="5" t="s">
        <v>825</v>
      </c>
      <c r="J31" s="9" t="s">
        <v>9</v>
      </c>
      <c r="K31" s="9"/>
    </row>
    <row r="32" spans="1:11" x14ac:dyDescent="0.25">
      <c r="A32" s="4">
        <v>45002</v>
      </c>
      <c r="B32" s="5" t="s">
        <v>77</v>
      </c>
      <c r="C32" s="5">
        <v>73</v>
      </c>
      <c r="D32" s="9" t="s">
        <v>17</v>
      </c>
      <c r="E32" s="5" t="s">
        <v>78</v>
      </c>
      <c r="F32" s="5" t="s">
        <v>20</v>
      </c>
      <c r="G32" s="5" t="s">
        <v>33</v>
      </c>
      <c r="H32" s="5" t="s">
        <v>802</v>
      </c>
      <c r="I32" s="5" t="s">
        <v>825</v>
      </c>
      <c r="J32" s="9" t="s">
        <v>9</v>
      </c>
      <c r="K32" s="5"/>
    </row>
    <row r="33" spans="1:11" x14ac:dyDescent="0.25">
      <c r="A33" s="7">
        <v>45003</v>
      </c>
      <c r="B33" s="8" t="s">
        <v>80</v>
      </c>
      <c r="C33" s="8">
        <v>73</v>
      </c>
      <c r="D33" s="5" t="s">
        <v>18</v>
      </c>
      <c r="E33" s="8" t="s">
        <v>35</v>
      </c>
      <c r="F33" s="8" t="s">
        <v>81</v>
      </c>
      <c r="G33" s="8" t="s">
        <v>33</v>
      </c>
      <c r="H33" s="5" t="s">
        <v>802</v>
      </c>
      <c r="I33" s="5" t="s">
        <v>825</v>
      </c>
      <c r="J33" s="9" t="s">
        <v>9</v>
      </c>
      <c r="K33" s="8" t="str">
        <f>+D38</f>
        <v>THOMPSOM</v>
      </c>
    </row>
    <row r="34" spans="1:11" x14ac:dyDescent="0.25">
      <c r="A34" s="4">
        <v>45005</v>
      </c>
      <c r="B34" s="5" t="s">
        <v>82</v>
      </c>
      <c r="C34" s="5">
        <v>42</v>
      </c>
      <c r="D34" s="5" t="s">
        <v>18</v>
      </c>
      <c r="E34" s="5" t="s">
        <v>83</v>
      </c>
      <c r="F34" s="5" t="s">
        <v>84</v>
      </c>
      <c r="G34" s="5"/>
      <c r="H34" s="5" t="s">
        <v>34</v>
      </c>
      <c r="I34" s="5" t="s">
        <v>825</v>
      </c>
      <c r="J34" s="5" t="s">
        <v>24</v>
      </c>
      <c r="K34" s="5"/>
    </row>
    <row r="35" spans="1:11" x14ac:dyDescent="0.25">
      <c r="A35" s="10">
        <v>45005</v>
      </c>
      <c r="B35" s="9" t="s">
        <v>85</v>
      </c>
      <c r="C35" s="9">
        <v>19</v>
      </c>
      <c r="D35" s="5" t="s">
        <v>18</v>
      </c>
      <c r="E35" s="9" t="s">
        <v>86</v>
      </c>
      <c r="F35" s="9" t="s">
        <v>87</v>
      </c>
      <c r="G35" s="9"/>
      <c r="H35" s="5" t="s">
        <v>802</v>
      </c>
      <c r="I35" s="5" t="s">
        <v>825</v>
      </c>
      <c r="J35" s="5" t="s">
        <v>24</v>
      </c>
      <c r="K35" s="9"/>
    </row>
    <row r="36" spans="1:11" s="11" customFormat="1" x14ac:dyDescent="0.25">
      <c r="A36" s="4">
        <v>45006</v>
      </c>
      <c r="B36" s="5" t="s">
        <v>88</v>
      </c>
      <c r="C36" s="5">
        <v>54</v>
      </c>
      <c r="D36" s="5" t="s">
        <v>18</v>
      </c>
      <c r="E36" s="5" t="s">
        <v>89</v>
      </c>
      <c r="F36" s="5" t="s">
        <v>39</v>
      </c>
      <c r="G36" s="5"/>
      <c r="H36" s="5" t="s">
        <v>34</v>
      </c>
      <c r="I36" s="5" t="s">
        <v>825</v>
      </c>
      <c r="J36" s="5" t="s">
        <v>24</v>
      </c>
      <c r="K36" s="5"/>
    </row>
    <row r="37" spans="1:11" x14ac:dyDescent="0.25">
      <c r="A37" s="10">
        <v>45007</v>
      </c>
      <c r="B37" s="9" t="s">
        <v>90</v>
      </c>
      <c r="C37" s="9">
        <v>78</v>
      </c>
      <c r="D37" s="5" t="s">
        <v>18</v>
      </c>
      <c r="E37" s="9" t="s">
        <v>91</v>
      </c>
      <c r="F37" s="9" t="s">
        <v>92</v>
      </c>
      <c r="G37" s="9" t="s">
        <v>33</v>
      </c>
      <c r="H37" s="5" t="s">
        <v>802</v>
      </c>
      <c r="I37" s="5" t="s">
        <v>825</v>
      </c>
      <c r="J37" s="9" t="s">
        <v>9</v>
      </c>
      <c r="K37" s="9"/>
    </row>
    <row r="38" spans="1:11" x14ac:dyDescent="0.25">
      <c r="A38" s="4">
        <v>45007</v>
      </c>
      <c r="B38" s="5" t="s">
        <v>97</v>
      </c>
      <c r="C38" s="5">
        <v>19</v>
      </c>
      <c r="D38" s="5" t="s">
        <v>1679</v>
      </c>
      <c r="E38" s="5" t="s">
        <v>26</v>
      </c>
      <c r="F38" s="5" t="s">
        <v>98</v>
      </c>
      <c r="G38" s="5"/>
      <c r="H38" s="5" t="s">
        <v>802</v>
      </c>
      <c r="I38" s="5" t="s">
        <v>825</v>
      </c>
      <c r="J38" s="5" t="s">
        <v>24</v>
      </c>
      <c r="K38" s="5"/>
    </row>
    <row r="39" spans="1:11" x14ac:dyDescent="0.25">
      <c r="A39" s="7">
        <v>45008</v>
      </c>
      <c r="B39" s="8" t="s">
        <v>93</v>
      </c>
      <c r="C39" s="8">
        <v>76</v>
      </c>
      <c r="D39" s="5" t="s">
        <v>18</v>
      </c>
      <c r="E39" s="8" t="s">
        <v>91</v>
      </c>
      <c r="F39" s="8" t="s">
        <v>94</v>
      </c>
      <c r="G39" s="8" t="s">
        <v>33</v>
      </c>
      <c r="H39" s="5" t="s">
        <v>802</v>
      </c>
      <c r="I39" s="5" t="s">
        <v>825</v>
      </c>
      <c r="J39" s="9" t="s">
        <v>9</v>
      </c>
      <c r="K39" s="8"/>
    </row>
    <row r="40" spans="1:11" s="11" customFormat="1" x14ac:dyDescent="0.25">
      <c r="A40" s="4">
        <v>45012</v>
      </c>
      <c r="B40" s="5" t="s">
        <v>99</v>
      </c>
      <c r="C40" s="5">
        <v>49</v>
      </c>
      <c r="D40" s="5" t="s">
        <v>100</v>
      </c>
      <c r="E40" s="5" t="s">
        <v>101</v>
      </c>
      <c r="F40" s="5" t="s">
        <v>63</v>
      </c>
      <c r="G40" s="5"/>
      <c r="H40" s="5" t="s">
        <v>34</v>
      </c>
      <c r="I40" s="5" t="s">
        <v>825</v>
      </c>
      <c r="J40" s="5" t="s">
        <v>24</v>
      </c>
      <c r="K40" s="5">
        <v>3435316130</v>
      </c>
    </row>
    <row r="41" spans="1:11" x14ac:dyDescent="0.25">
      <c r="A41" s="10">
        <v>45012</v>
      </c>
      <c r="B41" s="9" t="s">
        <v>102</v>
      </c>
      <c r="C41" s="9">
        <v>55</v>
      </c>
      <c r="D41" s="5" t="s">
        <v>100</v>
      </c>
      <c r="E41" s="9" t="s">
        <v>56</v>
      </c>
      <c r="F41" s="9" t="s">
        <v>63</v>
      </c>
      <c r="G41" s="9"/>
      <c r="H41" s="9" t="s">
        <v>34</v>
      </c>
      <c r="I41" s="5" t="s">
        <v>825</v>
      </c>
      <c r="J41" s="5" t="s">
        <v>24</v>
      </c>
      <c r="K41" s="9">
        <v>155005349</v>
      </c>
    </row>
    <row r="42" spans="1:11" s="11" customFormat="1" x14ac:dyDescent="0.25">
      <c r="A42" s="4">
        <v>45012</v>
      </c>
      <c r="B42" s="5" t="s">
        <v>103</v>
      </c>
      <c r="C42" s="5">
        <v>61</v>
      </c>
      <c r="D42" s="5" t="s">
        <v>18</v>
      </c>
      <c r="E42" s="5" t="s">
        <v>26</v>
      </c>
      <c r="F42" s="5" t="s">
        <v>98</v>
      </c>
      <c r="G42" s="5" t="s">
        <v>33</v>
      </c>
      <c r="H42" s="5" t="s">
        <v>802</v>
      </c>
      <c r="I42" s="5" t="s">
        <v>825</v>
      </c>
      <c r="J42" s="9" t="s">
        <v>9</v>
      </c>
      <c r="K42" s="5"/>
    </row>
    <row r="43" spans="1:11" s="11" customFormat="1" x14ac:dyDescent="0.25">
      <c r="A43" s="7">
        <v>45012</v>
      </c>
      <c r="B43" s="8" t="s">
        <v>104</v>
      </c>
      <c r="C43" s="8">
        <v>76</v>
      </c>
      <c r="D43" s="8" t="s">
        <v>8</v>
      </c>
      <c r="E43" s="8" t="s">
        <v>43</v>
      </c>
      <c r="F43" s="8" t="s">
        <v>21</v>
      </c>
      <c r="G43" s="8" t="s">
        <v>33</v>
      </c>
      <c r="H43" s="5" t="s">
        <v>802</v>
      </c>
      <c r="I43" s="5" t="s">
        <v>825</v>
      </c>
      <c r="J43" s="9" t="s">
        <v>9</v>
      </c>
      <c r="K43" s="8"/>
    </row>
    <row r="44" spans="1:11" x14ac:dyDescent="0.25">
      <c r="A44" s="4">
        <v>45014</v>
      </c>
      <c r="B44" s="5" t="s">
        <v>108</v>
      </c>
      <c r="C44" s="5">
        <v>58</v>
      </c>
      <c r="D44" s="5" t="s">
        <v>18</v>
      </c>
      <c r="E44" s="5" t="s">
        <v>26</v>
      </c>
      <c r="F44" s="5" t="s">
        <v>109</v>
      </c>
      <c r="G44" s="5"/>
      <c r="H44" s="5" t="s">
        <v>34</v>
      </c>
      <c r="I44" s="5" t="s">
        <v>825</v>
      </c>
      <c r="J44" s="5" t="s">
        <v>24</v>
      </c>
      <c r="K44" s="5">
        <v>3425296802</v>
      </c>
    </row>
    <row r="45" spans="1:11" x14ac:dyDescent="0.25">
      <c r="A45" s="7">
        <v>45014</v>
      </c>
      <c r="B45" s="8" t="s">
        <v>105</v>
      </c>
      <c r="C45" s="8">
        <v>15</v>
      </c>
      <c r="D45" s="5" t="s">
        <v>18</v>
      </c>
      <c r="E45" s="8" t="s">
        <v>106</v>
      </c>
      <c r="F45" s="8" t="s">
        <v>81</v>
      </c>
      <c r="G45" s="8"/>
      <c r="H45" s="5" t="s">
        <v>802</v>
      </c>
      <c r="I45" s="5" t="s">
        <v>825</v>
      </c>
      <c r="J45" s="5" t="s">
        <v>24</v>
      </c>
      <c r="K45" s="8"/>
    </row>
    <row r="46" spans="1:11" x14ac:dyDescent="0.25">
      <c r="A46" s="7">
        <v>45014</v>
      </c>
      <c r="B46" s="8" t="s">
        <v>107</v>
      </c>
      <c r="C46" s="8">
        <v>38</v>
      </c>
      <c r="D46" s="5" t="s">
        <v>18</v>
      </c>
      <c r="E46" s="8" t="s">
        <v>83</v>
      </c>
      <c r="F46" s="8" t="s">
        <v>109</v>
      </c>
      <c r="G46" s="8"/>
      <c r="H46" s="8" t="s">
        <v>95</v>
      </c>
      <c r="I46" s="5" t="s">
        <v>825</v>
      </c>
      <c r="J46" s="5" t="s">
        <v>24</v>
      </c>
      <c r="K46" s="8"/>
    </row>
    <row r="47" spans="1:11" x14ac:dyDescent="0.25">
      <c r="A47" s="10">
        <v>45014</v>
      </c>
      <c r="B47" s="9" t="s">
        <v>110</v>
      </c>
      <c r="C47" s="9">
        <v>22</v>
      </c>
      <c r="D47" s="9" t="s">
        <v>111</v>
      </c>
      <c r="E47" s="9" t="s">
        <v>112</v>
      </c>
      <c r="F47" s="9" t="s">
        <v>113</v>
      </c>
      <c r="G47" s="9"/>
      <c r="H47" s="5" t="s">
        <v>802</v>
      </c>
      <c r="I47" s="5" t="s">
        <v>825</v>
      </c>
      <c r="J47" s="5" t="s">
        <v>24</v>
      </c>
      <c r="K47" s="9">
        <v>3435368043</v>
      </c>
    </row>
    <row r="48" spans="1:11" x14ac:dyDescent="0.25">
      <c r="A48" s="4">
        <v>45015</v>
      </c>
      <c r="B48" s="5" t="s">
        <v>116</v>
      </c>
      <c r="C48" s="5">
        <v>67</v>
      </c>
      <c r="D48" s="8" t="s">
        <v>8</v>
      </c>
      <c r="E48" s="5" t="s">
        <v>117</v>
      </c>
      <c r="F48" s="5" t="s">
        <v>118</v>
      </c>
      <c r="G48" s="5" t="s">
        <v>32</v>
      </c>
      <c r="H48" s="5" t="s">
        <v>802</v>
      </c>
      <c r="I48" s="5" t="s">
        <v>825</v>
      </c>
      <c r="J48" s="9" t="s">
        <v>9</v>
      </c>
      <c r="K48" s="5"/>
    </row>
    <row r="49" spans="1:11" s="11" customFormat="1" x14ac:dyDescent="0.25">
      <c r="A49" s="10">
        <v>45015</v>
      </c>
      <c r="B49" s="9" t="s">
        <v>119</v>
      </c>
      <c r="C49" s="9">
        <v>75</v>
      </c>
      <c r="D49" s="8" t="s">
        <v>120</v>
      </c>
      <c r="E49" s="9" t="s">
        <v>56</v>
      </c>
      <c r="F49" s="9" t="s">
        <v>63</v>
      </c>
      <c r="G49" s="9" t="s">
        <v>33</v>
      </c>
      <c r="H49" s="5" t="s">
        <v>802</v>
      </c>
      <c r="I49" s="5" t="s">
        <v>825</v>
      </c>
      <c r="J49" s="9" t="s">
        <v>9</v>
      </c>
      <c r="K49" s="9">
        <v>5289542</v>
      </c>
    </row>
    <row r="50" spans="1:11" s="11" customFormat="1" x14ac:dyDescent="0.25">
      <c r="A50" s="4">
        <v>45015</v>
      </c>
      <c r="B50" s="5" t="s">
        <v>121</v>
      </c>
      <c r="C50" s="5">
        <v>51</v>
      </c>
      <c r="D50" s="8" t="s">
        <v>120</v>
      </c>
      <c r="E50" s="5" t="s">
        <v>78</v>
      </c>
      <c r="F50" s="5" t="s">
        <v>113</v>
      </c>
      <c r="G50" s="5"/>
      <c r="H50" s="5" t="s">
        <v>802</v>
      </c>
      <c r="I50" s="5" t="s">
        <v>825</v>
      </c>
      <c r="J50" s="5" t="s">
        <v>24</v>
      </c>
      <c r="K50" s="5">
        <v>3434624471</v>
      </c>
    </row>
    <row r="51" spans="1:11" x14ac:dyDescent="0.25">
      <c r="A51" s="10">
        <v>45015</v>
      </c>
      <c r="B51" s="9" t="s">
        <v>122</v>
      </c>
      <c r="C51" s="9">
        <v>71</v>
      </c>
      <c r="D51" s="9" t="s">
        <v>17</v>
      </c>
      <c r="E51" s="9" t="s">
        <v>43</v>
      </c>
      <c r="F51" s="9" t="s">
        <v>123</v>
      </c>
      <c r="G51" s="9" t="s">
        <v>33</v>
      </c>
      <c r="H51" s="5" t="s">
        <v>802</v>
      </c>
      <c r="I51" s="5" t="s">
        <v>825</v>
      </c>
      <c r="J51" s="9" t="s">
        <v>9</v>
      </c>
      <c r="K51" s="9"/>
    </row>
    <row r="52" spans="1:11" x14ac:dyDescent="0.25">
      <c r="A52" s="7">
        <v>45016</v>
      </c>
      <c r="B52" s="8" t="s">
        <v>124</v>
      </c>
      <c r="C52" s="8">
        <v>66</v>
      </c>
      <c r="D52" s="5" t="s">
        <v>18</v>
      </c>
      <c r="E52" s="8" t="s">
        <v>125</v>
      </c>
      <c r="F52" s="8" t="s">
        <v>126</v>
      </c>
      <c r="G52" s="8" t="s">
        <v>33</v>
      </c>
      <c r="H52" s="5" t="s">
        <v>802</v>
      </c>
      <c r="I52" s="5" t="s">
        <v>825</v>
      </c>
      <c r="J52" s="9" t="s">
        <v>9</v>
      </c>
      <c r="K52" s="8"/>
    </row>
    <row r="53" spans="1:11" x14ac:dyDescent="0.25">
      <c r="A53" s="7">
        <v>45019</v>
      </c>
      <c r="B53" s="8" t="s">
        <v>114</v>
      </c>
      <c r="C53" s="8">
        <v>66</v>
      </c>
      <c r="D53" s="8" t="s">
        <v>8</v>
      </c>
      <c r="E53" s="8" t="s">
        <v>56</v>
      </c>
      <c r="F53" s="8" t="s">
        <v>115</v>
      </c>
      <c r="G53" s="8" t="s">
        <v>32</v>
      </c>
      <c r="H53" s="5" t="s">
        <v>802</v>
      </c>
      <c r="I53" s="5" t="s">
        <v>825</v>
      </c>
      <c r="J53" s="9" t="s">
        <v>9</v>
      </c>
      <c r="K53" s="8">
        <v>3435038414</v>
      </c>
    </row>
    <row r="54" spans="1:11" s="11" customFormat="1" x14ac:dyDescent="0.25">
      <c r="A54" s="4">
        <v>45020</v>
      </c>
      <c r="B54" s="5" t="s">
        <v>127</v>
      </c>
      <c r="C54" s="5">
        <v>72</v>
      </c>
      <c r="D54" s="5" t="s">
        <v>18</v>
      </c>
      <c r="E54" s="5" t="s">
        <v>91</v>
      </c>
      <c r="F54" s="5" t="s">
        <v>128</v>
      </c>
      <c r="G54" s="5" t="s">
        <v>33</v>
      </c>
      <c r="H54" s="5" t="s">
        <v>802</v>
      </c>
      <c r="I54" s="5" t="s">
        <v>825</v>
      </c>
      <c r="J54" s="9" t="s">
        <v>9</v>
      </c>
      <c r="K54" s="5"/>
    </row>
    <row r="55" spans="1:11" x14ac:dyDescent="0.25">
      <c r="A55" s="10">
        <v>45020</v>
      </c>
      <c r="B55" s="9" t="s">
        <v>129</v>
      </c>
      <c r="C55" s="9">
        <v>82</v>
      </c>
      <c r="D55" s="5" t="s">
        <v>18</v>
      </c>
      <c r="E55" s="9" t="s">
        <v>125</v>
      </c>
      <c r="F55" s="9" t="s">
        <v>39</v>
      </c>
      <c r="G55" s="9" t="s">
        <v>33</v>
      </c>
      <c r="H55" s="5" t="s">
        <v>802</v>
      </c>
      <c r="I55" s="5" t="s">
        <v>825</v>
      </c>
      <c r="J55" s="9" t="s">
        <v>9</v>
      </c>
      <c r="K55" s="9"/>
    </row>
    <row r="56" spans="1:11" x14ac:dyDescent="0.25">
      <c r="A56" s="4">
        <v>45020</v>
      </c>
      <c r="B56" s="5" t="s">
        <v>132</v>
      </c>
      <c r="C56" s="5">
        <v>33</v>
      </c>
      <c r="D56" s="5" t="s">
        <v>18</v>
      </c>
      <c r="E56" s="5" t="s">
        <v>86</v>
      </c>
      <c r="F56" s="5" t="s">
        <v>133</v>
      </c>
      <c r="G56" s="5"/>
      <c r="H56" s="5" t="s">
        <v>34</v>
      </c>
      <c r="I56" s="5" t="s">
        <v>825</v>
      </c>
      <c r="J56" s="5" t="s">
        <v>24</v>
      </c>
      <c r="K56" s="5">
        <v>3435164853</v>
      </c>
    </row>
    <row r="57" spans="1:11" x14ac:dyDescent="0.25">
      <c r="A57" s="10">
        <v>45024</v>
      </c>
      <c r="B57" s="9" t="s">
        <v>864</v>
      </c>
      <c r="C57" s="9">
        <v>23</v>
      </c>
      <c r="D57" s="9"/>
      <c r="E57" s="9" t="s">
        <v>623</v>
      </c>
      <c r="F57" s="9" t="s">
        <v>865</v>
      </c>
      <c r="G57" s="9"/>
      <c r="H57" s="5" t="s">
        <v>802</v>
      </c>
      <c r="I57" s="9"/>
      <c r="J57" s="5" t="s">
        <v>24</v>
      </c>
      <c r="K57" s="9"/>
    </row>
    <row r="58" spans="1:11" x14ac:dyDescent="0.25">
      <c r="A58" s="7">
        <v>45026</v>
      </c>
      <c r="B58" s="8" t="s">
        <v>130</v>
      </c>
      <c r="C58" s="8">
        <v>30</v>
      </c>
      <c r="D58" s="5" t="s">
        <v>18</v>
      </c>
      <c r="E58" s="8" t="s">
        <v>26</v>
      </c>
      <c r="F58" s="8" t="s">
        <v>131</v>
      </c>
      <c r="G58" s="8"/>
      <c r="H58" s="5" t="s">
        <v>802</v>
      </c>
      <c r="I58" s="5" t="s">
        <v>825</v>
      </c>
      <c r="J58" s="9" t="s">
        <v>9</v>
      </c>
      <c r="K58" s="8"/>
    </row>
    <row r="59" spans="1:11" x14ac:dyDescent="0.25">
      <c r="A59" s="10">
        <v>45026</v>
      </c>
      <c r="B59" s="9" t="s">
        <v>134</v>
      </c>
      <c r="C59" s="9">
        <v>29</v>
      </c>
      <c r="D59" s="5" t="s">
        <v>18</v>
      </c>
      <c r="E59" s="9" t="s">
        <v>135</v>
      </c>
      <c r="F59" s="9" t="s">
        <v>136</v>
      </c>
      <c r="G59" s="9"/>
      <c r="H59" s="9" t="s">
        <v>59</v>
      </c>
      <c r="I59" s="5" t="s">
        <v>825</v>
      </c>
      <c r="J59" s="5" t="s">
        <v>24</v>
      </c>
      <c r="K59" s="9">
        <v>155196398</v>
      </c>
    </row>
    <row r="60" spans="1:11" x14ac:dyDescent="0.25">
      <c r="A60" s="4">
        <v>45026</v>
      </c>
      <c r="B60" s="5" t="s">
        <v>137</v>
      </c>
      <c r="C60" s="5">
        <v>38</v>
      </c>
      <c r="D60" s="5" t="s">
        <v>18</v>
      </c>
      <c r="E60" s="5" t="s">
        <v>138</v>
      </c>
      <c r="F60" s="5" t="s">
        <v>139</v>
      </c>
      <c r="G60" s="5"/>
      <c r="H60" s="5" t="s">
        <v>34</v>
      </c>
      <c r="I60" s="5" t="s">
        <v>825</v>
      </c>
      <c r="J60" s="5" t="s">
        <v>24</v>
      </c>
      <c r="K60" s="5"/>
    </row>
    <row r="61" spans="1:11" x14ac:dyDescent="0.25">
      <c r="A61" s="10">
        <v>45026</v>
      </c>
      <c r="B61" s="9" t="s">
        <v>140</v>
      </c>
      <c r="C61" s="9">
        <v>53</v>
      </c>
      <c r="D61" s="5" t="s">
        <v>18</v>
      </c>
      <c r="E61" s="9" t="s">
        <v>26</v>
      </c>
      <c r="F61" s="9" t="s">
        <v>131</v>
      </c>
      <c r="G61" s="9"/>
      <c r="H61" s="9" t="s">
        <v>34</v>
      </c>
      <c r="I61" s="5" t="s">
        <v>825</v>
      </c>
      <c r="J61" s="5" t="s">
        <v>24</v>
      </c>
      <c r="K61" s="9"/>
    </row>
    <row r="62" spans="1:11" s="11" customFormat="1" x14ac:dyDescent="0.25">
      <c r="A62" s="4">
        <v>45026</v>
      </c>
      <c r="B62" s="5" t="s">
        <v>141</v>
      </c>
      <c r="C62" s="5">
        <v>34</v>
      </c>
      <c r="D62" s="5" t="s">
        <v>18</v>
      </c>
      <c r="E62" s="5" t="s">
        <v>142</v>
      </c>
      <c r="F62" s="5" t="s">
        <v>143</v>
      </c>
      <c r="G62" s="5"/>
      <c r="H62" s="5" t="s">
        <v>802</v>
      </c>
      <c r="I62" s="5" t="s">
        <v>825</v>
      </c>
      <c r="J62" s="5" t="s">
        <v>24</v>
      </c>
      <c r="K62" s="5"/>
    </row>
    <row r="63" spans="1:11" x14ac:dyDescent="0.25">
      <c r="A63" s="10">
        <v>45026</v>
      </c>
      <c r="B63" s="9" t="s">
        <v>144</v>
      </c>
      <c r="C63" s="9">
        <v>76</v>
      </c>
      <c r="D63" s="5" t="s">
        <v>100</v>
      </c>
      <c r="E63" s="9" t="s">
        <v>145</v>
      </c>
      <c r="F63" s="9" t="s">
        <v>146</v>
      </c>
      <c r="G63" s="9" t="s">
        <v>33</v>
      </c>
      <c r="H63" s="5" t="s">
        <v>802</v>
      </c>
      <c r="I63" s="8" t="s">
        <v>148</v>
      </c>
      <c r="J63" s="9" t="s">
        <v>9</v>
      </c>
      <c r="K63" s="9"/>
    </row>
    <row r="64" spans="1:11" x14ac:dyDescent="0.25">
      <c r="A64" s="4">
        <v>45026</v>
      </c>
      <c r="B64" s="5" t="s">
        <v>147</v>
      </c>
      <c r="C64" s="5">
        <v>70</v>
      </c>
      <c r="D64" s="5" t="s">
        <v>18</v>
      </c>
      <c r="E64" s="5" t="s">
        <v>26</v>
      </c>
      <c r="F64" s="5" t="s">
        <v>131</v>
      </c>
      <c r="G64" s="5" t="s">
        <v>33</v>
      </c>
      <c r="H64" s="5" t="s">
        <v>802</v>
      </c>
      <c r="I64" s="5" t="s">
        <v>825</v>
      </c>
      <c r="J64" s="9" t="s">
        <v>9</v>
      </c>
      <c r="K64" s="5"/>
    </row>
    <row r="65" spans="1:11" x14ac:dyDescent="0.25">
      <c r="A65" s="10">
        <v>45026</v>
      </c>
      <c r="B65" s="9" t="s">
        <v>149</v>
      </c>
      <c r="C65" s="9">
        <v>74</v>
      </c>
      <c r="D65" s="5" t="s">
        <v>18</v>
      </c>
      <c r="E65" s="9" t="s">
        <v>91</v>
      </c>
      <c r="F65" s="9" t="s">
        <v>128</v>
      </c>
      <c r="G65" s="9" t="s">
        <v>33</v>
      </c>
      <c r="H65" s="5" t="s">
        <v>802</v>
      </c>
      <c r="I65" s="5" t="s">
        <v>825</v>
      </c>
      <c r="J65" s="9" t="s">
        <v>9</v>
      </c>
      <c r="K65" s="9"/>
    </row>
    <row r="66" spans="1:11" x14ac:dyDescent="0.25">
      <c r="A66" s="7">
        <v>45028</v>
      </c>
      <c r="B66" s="8" t="s">
        <v>150</v>
      </c>
      <c r="C66" s="8">
        <v>82</v>
      </c>
      <c r="D66" s="9" t="s">
        <v>17</v>
      </c>
      <c r="E66" s="8" t="s">
        <v>91</v>
      </c>
      <c r="F66" s="8" t="s">
        <v>128</v>
      </c>
      <c r="G66" s="8" t="s">
        <v>151</v>
      </c>
      <c r="H66" s="5" t="s">
        <v>802</v>
      </c>
      <c r="I66" s="5" t="s">
        <v>825</v>
      </c>
      <c r="J66" s="9" t="s">
        <v>9</v>
      </c>
      <c r="K66" s="8"/>
    </row>
    <row r="67" spans="1:11" s="11" customFormat="1" x14ac:dyDescent="0.25">
      <c r="A67" s="10">
        <v>45028</v>
      </c>
      <c r="B67" s="9" t="s">
        <v>152</v>
      </c>
      <c r="C67" s="9">
        <v>27</v>
      </c>
      <c r="D67" s="9" t="s">
        <v>153</v>
      </c>
      <c r="E67" s="9" t="s">
        <v>154</v>
      </c>
      <c r="F67" s="9" t="s">
        <v>155</v>
      </c>
      <c r="G67" s="9"/>
      <c r="H67" s="5" t="s">
        <v>802</v>
      </c>
      <c r="I67" s="8" t="s">
        <v>156</v>
      </c>
      <c r="J67" s="5" t="s">
        <v>24</v>
      </c>
      <c r="K67" s="9"/>
    </row>
    <row r="68" spans="1:11" s="11" customFormat="1" x14ac:dyDescent="0.25">
      <c r="A68" s="4">
        <v>45029</v>
      </c>
      <c r="B68" s="5" t="s">
        <v>190</v>
      </c>
      <c r="C68" s="5">
        <v>76</v>
      </c>
      <c r="D68" s="9" t="s">
        <v>17</v>
      </c>
      <c r="E68" s="5" t="s">
        <v>56</v>
      </c>
      <c r="F68" s="5" t="s">
        <v>115</v>
      </c>
      <c r="G68" s="5" t="s">
        <v>189</v>
      </c>
      <c r="H68" s="5" t="s">
        <v>802</v>
      </c>
      <c r="I68" s="5" t="s">
        <v>825</v>
      </c>
      <c r="J68" s="9" t="s">
        <v>9</v>
      </c>
      <c r="K68" s="5"/>
    </row>
    <row r="69" spans="1:11" s="11" customFormat="1" x14ac:dyDescent="0.25">
      <c r="A69" s="10">
        <v>45030</v>
      </c>
      <c r="B69" s="9" t="s">
        <v>157</v>
      </c>
      <c r="C69" s="9">
        <v>75</v>
      </c>
      <c r="D69" s="9" t="s">
        <v>1678</v>
      </c>
      <c r="E69" s="9" t="s">
        <v>158</v>
      </c>
      <c r="F69" s="9" t="s">
        <v>70</v>
      </c>
      <c r="G69" s="9" t="s">
        <v>159</v>
      </c>
      <c r="H69" s="5" t="s">
        <v>802</v>
      </c>
      <c r="I69" s="5" t="s">
        <v>825</v>
      </c>
      <c r="J69" s="9" t="s">
        <v>9</v>
      </c>
      <c r="K69" s="9"/>
    </row>
    <row r="70" spans="1:11" x14ac:dyDescent="0.25">
      <c r="A70" s="4">
        <v>45033</v>
      </c>
      <c r="B70" s="5" t="s">
        <v>160</v>
      </c>
      <c r="C70" s="5">
        <v>23</v>
      </c>
      <c r="D70" s="5" t="s">
        <v>18</v>
      </c>
      <c r="E70" s="5" t="s">
        <v>86</v>
      </c>
      <c r="F70" s="5" t="s">
        <v>133</v>
      </c>
      <c r="G70" s="5"/>
      <c r="H70" s="5" t="s">
        <v>59</v>
      </c>
      <c r="I70" s="5" t="s">
        <v>825</v>
      </c>
      <c r="J70" s="5" t="s">
        <v>24</v>
      </c>
      <c r="K70" s="5">
        <v>3435336066</v>
      </c>
    </row>
    <row r="71" spans="1:11" x14ac:dyDescent="0.25">
      <c r="A71" s="7">
        <v>45033</v>
      </c>
      <c r="B71" s="8" t="s">
        <v>161</v>
      </c>
      <c r="C71" s="8">
        <v>81</v>
      </c>
      <c r="D71" s="5" t="s">
        <v>18</v>
      </c>
      <c r="E71" s="8" t="s">
        <v>125</v>
      </c>
      <c r="F71" s="8" t="s">
        <v>39</v>
      </c>
      <c r="G71" s="8" t="s">
        <v>159</v>
      </c>
      <c r="H71" s="5" t="s">
        <v>802</v>
      </c>
      <c r="I71" s="5" t="s">
        <v>825</v>
      </c>
      <c r="J71" s="9" t="s">
        <v>9</v>
      </c>
      <c r="K71" s="8"/>
    </row>
    <row r="72" spans="1:11" x14ac:dyDescent="0.25">
      <c r="A72" s="7">
        <v>45033</v>
      </c>
      <c r="B72" s="8" t="s">
        <v>162</v>
      </c>
      <c r="C72" s="8">
        <v>72</v>
      </c>
      <c r="D72" s="8" t="s">
        <v>163</v>
      </c>
      <c r="E72" s="8" t="s">
        <v>164</v>
      </c>
      <c r="F72" s="8" t="s">
        <v>165</v>
      </c>
      <c r="G72" s="8" t="s">
        <v>159</v>
      </c>
      <c r="H72" s="5" t="s">
        <v>802</v>
      </c>
      <c r="I72" s="5" t="s">
        <v>825</v>
      </c>
      <c r="J72" s="9" t="s">
        <v>9</v>
      </c>
      <c r="K72" s="8"/>
    </row>
    <row r="73" spans="1:11" x14ac:dyDescent="0.25">
      <c r="A73" s="7">
        <v>45033</v>
      </c>
      <c r="B73" s="8" t="s">
        <v>166</v>
      </c>
      <c r="C73" s="8">
        <v>77</v>
      </c>
      <c r="D73" s="5" t="s">
        <v>18</v>
      </c>
      <c r="E73" s="8" t="s">
        <v>125</v>
      </c>
      <c r="F73" s="8" t="s">
        <v>167</v>
      </c>
      <c r="G73" s="8" t="s">
        <v>33</v>
      </c>
      <c r="H73" s="5" t="s">
        <v>802</v>
      </c>
      <c r="I73" s="5" t="s">
        <v>825</v>
      </c>
      <c r="J73" s="9" t="s">
        <v>9</v>
      </c>
      <c r="K73" s="8"/>
    </row>
    <row r="74" spans="1:11" x14ac:dyDescent="0.25">
      <c r="A74" s="4">
        <v>45033</v>
      </c>
      <c r="B74" s="5" t="s">
        <v>168</v>
      </c>
      <c r="C74" s="5">
        <v>38</v>
      </c>
      <c r="D74" s="5" t="s">
        <v>18</v>
      </c>
      <c r="E74" s="5" t="s">
        <v>61</v>
      </c>
      <c r="F74" s="5" t="s">
        <v>169</v>
      </c>
      <c r="G74" s="5"/>
      <c r="H74" s="5" t="s">
        <v>802</v>
      </c>
      <c r="I74" s="5" t="s">
        <v>825</v>
      </c>
      <c r="J74" s="5" t="s">
        <v>24</v>
      </c>
      <c r="K74" s="5"/>
    </row>
    <row r="75" spans="1:11" x14ac:dyDescent="0.25">
      <c r="A75" s="10">
        <v>45034</v>
      </c>
      <c r="B75" s="9" t="s">
        <v>170</v>
      </c>
      <c r="C75" s="9"/>
      <c r="D75" s="8" t="s">
        <v>8</v>
      </c>
      <c r="E75" s="9"/>
      <c r="F75" s="9" t="s">
        <v>21</v>
      </c>
      <c r="G75" s="9"/>
      <c r="H75" s="9" t="s">
        <v>59</v>
      </c>
      <c r="I75" s="5" t="s">
        <v>825</v>
      </c>
      <c r="J75" s="5" t="s">
        <v>24</v>
      </c>
      <c r="K75" s="9"/>
    </row>
    <row r="76" spans="1:11" x14ac:dyDescent="0.25">
      <c r="A76" s="4">
        <v>45034</v>
      </c>
      <c r="B76" s="5" t="s">
        <v>185</v>
      </c>
      <c r="C76" s="5">
        <v>72</v>
      </c>
      <c r="D76" s="5" t="s">
        <v>18</v>
      </c>
      <c r="E76" s="5" t="s">
        <v>91</v>
      </c>
      <c r="F76" s="5" t="s">
        <v>171</v>
      </c>
      <c r="G76" s="5" t="s">
        <v>33</v>
      </c>
      <c r="H76" s="5" t="s">
        <v>802</v>
      </c>
      <c r="I76" s="5" t="s">
        <v>825</v>
      </c>
      <c r="J76" s="9" t="s">
        <v>9</v>
      </c>
      <c r="K76" s="5"/>
    </row>
    <row r="77" spans="1:11" x14ac:dyDescent="0.25">
      <c r="A77" s="10">
        <v>45035</v>
      </c>
      <c r="B77" s="9" t="s">
        <v>172</v>
      </c>
      <c r="C77" s="9">
        <v>57</v>
      </c>
      <c r="D77" s="9" t="s">
        <v>111</v>
      </c>
      <c r="E77" s="9" t="s">
        <v>173</v>
      </c>
      <c r="F77" s="9" t="s">
        <v>317</v>
      </c>
      <c r="G77" s="9"/>
      <c r="H77" s="9" t="s">
        <v>59</v>
      </c>
      <c r="I77" s="8" t="s">
        <v>175</v>
      </c>
      <c r="J77" s="9" t="s">
        <v>178</v>
      </c>
      <c r="K77" s="9"/>
    </row>
    <row r="78" spans="1:11" x14ac:dyDescent="0.25">
      <c r="A78" s="4">
        <v>45035</v>
      </c>
      <c r="B78" s="5" t="s">
        <v>176</v>
      </c>
      <c r="C78" s="5">
        <v>54</v>
      </c>
      <c r="D78" s="9" t="s">
        <v>111</v>
      </c>
      <c r="E78" s="5" t="s">
        <v>177</v>
      </c>
      <c r="F78" s="5" t="s">
        <v>485</v>
      </c>
      <c r="G78" s="5"/>
      <c r="H78" s="5" t="s">
        <v>802</v>
      </c>
      <c r="I78" s="5" t="s">
        <v>825</v>
      </c>
      <c r="J78" s="5" t="s">
        <v>178</v>
      </c>
      <c r="K78" s="5"/>
    </row>
    <row r="79" spans="1:11" s="11" customFormat="1" x14ac:dyDescent="0.25">
      <c r="A79" s="10">
        <v>45035</v>
      </c>
      <c r="B79" s="9" t="s">
        <v>179</v>
      </c>
      <c r="C79" s="9">
        <v>51</v>
      </c>
      <c r="D79" s="9" t="s">
        <v>180</v>
      </c>
      <c r="E79" s="9" t="s">
        <v>181</v>
      </c>
      <c r="F79" s="9" t="s">
        <v>182</v>
      </c>
      <c r="G79" s="9"/>
      <c r="H79" s="9" t="s">
        <v>34</v>
      </c>
      <c r="I79" s="8" t="s">
        <v>183</v>
      </c>
      <c r="J79" s="5" t="s">
        <v>24</v>
      </c>
      <c r="K79" s="9"/>
    </row>
    <row r="80" spans="1:11" x14ac:dyDescent="0.25">
      <c r="A80" s="4">
        <v>45035</v>
      </c>
      <c r="B80" s="5" t="s">
        <v>184</v>
      </c>
      <c r="C80" s="5"/>
      <c r="D80" s="5" t="s">
        <v>180</v>
      </c>
      <c r="E80" s="5" t="s">
        <v>181</v>
      </c>
      <c r="F80" s="5" t="s">
        <v>182</v>
      </c>
      <c r="G80" s="5"/>
      <c r="H80" s="5" t="s">
        <v>34</v>
      </c>
      <c r="I80" s="5" t="s">
        <v>825</v>
      </c>
      <c r="J80" s="5" t="s">
        <v>24</v>
      </c>
      <c r="K80" s="5"/>
    </row>
    <row r="81" spans="1:11" x14ac:dyDescent="0.25">
      <c r="A81" s="10">
        <v>45036</v>
      </c>
      <c r="B81" s="9" t="s">
        <v>186</v>
      </c>
      <c r="C81" s="9">
        <v>22</v>
      </c>
      <c r="D81" s="8" t="s">
        <v>120</v>
      </c>
      <c r="E81" s="9" t="s">
        <v>154</v>
      </c>
      <c r="F81" s="9" t="s">
        <v>187</v>
      </c>
      <c r="G81" s="9"/>
      <c r="H81" s="9" t="s">
        <v>34</v>
      </c>
      <c r="I81" s="5" t="s">
        <v>825</v>
      </c>
      <c r="J81" s="5" t="s">
        <v>24</v>
      </c>
      <c r="K81" s="9"/>
    </row>
    <row r="82" spans="1:11" x14ac:dyDescent="0.25">
      <c r="A82" s="4">
        <v>45036</v>
      </c>
      <c r="B82" s="5" t="s">
        <v>188</v>
      </c>
      <c r="C82" s="5">
        <v>85</v>
      </c>
      <c r="D82" s="8" t="s">
        <v>163</v>
      </c>
      <c r="E82" s="5" t="s">
        <v>78</v>
      </c>
      <c r="F82" s="5" t="s">
        <v>191</v>
      </c>
      <c r="G82" s="5" t="s">
        <v>159</v>
      </c>
      <c r="H82" s="5" t="s">
        <v>802</v>
      </c>
      <c r="I82" s="5" t="s">
        <v>825</v>
      </c>
      <c r="J82" s="9" t="s">
        <v>9</v>
      </c>
      <c r="K82" s="5"/>
    </row>
    <row r="83" spans="1:11" x14ac:dyDescent="0.25">
      <c r="A83" s="7">
        <v>45036</v>
      </c>
      <c r="B83" s="8" t="s">
        <v>192</v>
      </c>
      <c r="C83" s="8">
        <v>69</v>
      </c>
      <c r="D83" s="5" t="s">
        <v>18</v>
      </c>
      <c r="E83" s="8" t="s">
        <v>91</v>
      </c>
      <c r="F83" s="8" t="s">
        <v>128</v>
      </c>
      <c r="G83" s="8" t="s">
        <v>33</v>
      </c>
      <c r="H83" s="5" t="s">
        <v>802</v>
      </c>
      <c r="I83" s="5" t="s">
        <v>825</v>
      </c>
      <c r="J83" s="9" t="s">
        <v>9</v>
      </c>
      <c r="K83" s="8"/>
    </row>
    <row r="84" spans="1:11" x14ac:dyDescent="0.25">
      <c r="A84" s="4">
        <v>45040</v>
      </c>
      <c r="B84" s="5" t="s">
        <v>193</v>
      </c>
      <c r="C84" s="5">
        <v>73</v>
      </c>
      <c r="D84" s="5" t="s">
        <v>18</v>
      </c>
      <c r="E84" s="5" t="s">
        <v>194</v>
      </c>
      <c r="F84" s="5" t="s">
        <v>195</v>
      </c>
      <c r="G84" s="5" t="s">
        <v>33</v>
      </c>
      <c r="H84" s="5" t="s">
        <v>802</v>
      </c>
      <c r="I84" s="5" t="s">
        <v>825</v>
      </c>
      <c r="J84" s="9" t="s">
        <v>9</v>
      </c>
      <c r="K84" s="5"/>
    </row>
    <row r="85" spans="1:11" x14ac:dyDescent="0.25">
      <c r="A85" s="10">
        <v>45040</v>
      </c>
      <c r="B85" s="9" t="s">
        <v>196</v>
      </c>
      <c r="C85" s="9">
        <v>73</v>
      </c>
      <c r="D85" s="5" t="s">
        <v>18</v>
      </c>
      <c r="E85" s="9" t="s">
        <v>197</v>
      </c>
      <c r="F85" s="9" t="s">
        <v>198</v>
      </c>
      <c r="G85" s="9" t="s">
        <v>33</v>
      </c>
      <c r="H85" s="5" t="s">
        <v>802</v>
      </c>
      <c r="I85" s="5" t="s">
        <v>825</v>
      </c>
      <c r="J85" s="9" t="s">
        <v>9</v>
      </c>
      <c r="K85" s="9"/>
    </row>
    <row r="86" spans="1:11" x14ac:dyDescent="0.25">
      <c r="A86" s="4">
        <v>45040</v>
      </c>
      <c r="B86" s="5" t="s">
        <v>199</v>
      </c>
      <c r="C86" s="5">
        <v>23</v>
      </c>
      <c r="D86" s="5" t="s">
        <v>18</v>
      </c>
      <c r="E86" s="5" t="s">
        <v>91</v>
      </c>
      <c r="F86" s="5" t="s">
        <v>128</v>
      </c>
      <c r="G86" s="5"/>
      <c r="H86" s="5" t="s">
        <v>34</v>
      </c>
      <c r="I86" s="5" t="s">
        <v>825</v>
      </c>
      <c r="J86" s="5" t="s">
        <v>24</v>
      </c>
      <c r="K86" s="5"/>
    </row>
    <row r="87" spans="1:11" x14ac:dyDescent="0.25">
      <c r="A87" s="10">
        <v>45041</v>
      </c>
      <c r="B87" s="9" t="s">
        <v>200</v>
      </c>
      <c r="C87" s="9"/>
      <c r="D87" s="8" t="s">
        <v>8</v>
      </c>
      <c r="E87" s="9" t="s">
        <v>43</v>
      </c>
      <c r="F87" s="9" t="s">
        <v>21</v>
      </c>
      <c r="G87" s="9" t="s">
        <v>32</v>
      </c>
      <c r="H87" s="5" t="s">
        <v>802</v>
      </c>
      <c r="I87" s="5" t="s">
        <v>825</v>
      </c>
      <c r="J87" s="9" t="s">
        <v>9</v>
      </c>
      <c r="K87" s="9"/>
    </row>
    <row r="88" spans="1:11" x14ac:dyDescent="0.25">
      <c r="A88" s="4">
        <v>45041</v>
      </c>
      <c r="B88" s="5" t="s">
        <v>205</v>
      </c>
      <c r="C88" s="5"/>
      <c r="D88" s="8" t="s">
        <v>8</v>
      </c>
      <c r="E88" s="5" t="s">
        <v>43</v>
      </c>
      <c r="F88" s="5" t="s">
        <v>21</v>
      </c>
      <c r="G88" s="5" t="s">
        <v>32</v>
      </c>
      <c r="H88" s="5" t="s">
        <v>802</v>
      </c>
      <c r="I88" s="5" t="s">
        <v>825</v>
      </c>
      <c r="J88" s="9" t="s">
        <v>9</v>
      </c>
      <c r="K88" s="5"/>
    </row>
    <row r="89" spans="1:11" x14ac:dyDescent="0.25">
      <c r="A89" s="10">
        <v>45042</v>
      </c>
      <c r="B89" s="9" t="s">
        <v>221</v>
      </c>
      <c r="C89" s="9">
        <v>81</v>
      </c>
      <c r="D89" s="5" t="s">
        <v>18</v>
      </c>
      <c r="E89" s="9" t="s">
        <v>125</v>
      </c>
      <c r="F89" s="9" t="s">
        <v>39</v>
      </c>
      <c r="G89" s="9" t="s">
        <v>159</v>
      </c>
      <c r="H89" s="5" t="s">
        <v>802</v>
      </c>
      <c r="I89" s="5" t="s">
        <v>825</v>
      </c>
      <c r="J89" s="9" t="s">
        <v>9</v>
      </c>
      <c r="K89" s="9"/>
    </row>
    <row r="90" spans="1:11" x14ac:dyDescent="0.25">
      <c r="A90" s="4">
        <v>45042</v>
      </c>
      <c r="B90" s="5" t="s">
        <v>201</v>
      </c>
      <c r="C90" s="5">
        <v>63</v>
      </c>
      <c r="D90" s="9" t="s">
        <v>153</v>
      </c>
      <c r="E90" s="5" t="s">
        <v>56</v>
      </c>
      <c r="F90" s="5" t="s">
        <v>63</v>
      </c>
      <c r="G90" s="5" t="s">
        <v>32</v>
      </c>
      <c r="H90" s="5" t="s">
        <v>802</v>
      </c>
      <c r="I90" s="5" t="s">
        <v>825</v>
      </c>
      <c r="J90" s="9" t="s">
        <v>9</v>
      </c>
      <c r="K90" s="5"/>
    </row>
    <row r="91" spans="1:11" x14ac:dyDescent="0.25">
      <c r="A91" s="10">
        <v>45043</v>
      </c>
      <c r="B91" s="9" t="s">
        <v>202</v>
      </c>
      <c r="C91" s="9">
        <v>16</v>
      </c>
      <c r="D91" s="5" t="s">
        <v>18</v>
      </c>
      <c r="E91" s="9" t="s">
        <v>83</v>
      </c>
      <c r="F91" s="9" t="s">
        <v>203</v>
      </c>
      <c r="G91" s="9"/>
      <c r="H91" s="9" t="s">
        <v>34</v>
      </c>
      <c r="I91" s="5" t="s">
        <v>825</v>
      </c>
      <c r="J91" s="5" t="s">
        <v>24</v>
      </c>
      <c r="K91" s="9"/>
    </row>
    <row r="92" spans="1:11" x14ac:dyDescent="0.25">
      <c r="A92" s="4">
        <v>45043</v>
      </c>
      <c r="B92" s="5" t="s">
        <v>204</v>
      </c>
      <c r="C92" s="5"/>
      <c r="D92" s="5" t="s">
        <v>18</v>
      </c>
      <c r="E92" s="5"/>
      <c r="F92" s="5"/>
      <c r="G92" s="5"/>
      <c r="H92" s="5" t="s">
        <v>34</v>
      </c>
      <c r="I92" s="5" t="s">
        <v>825</v>
      </c>
      <c r="J92" s="5" t="s">
        <v>24</v>
      </c>
      <c r="K92" s="5"/>
    </row>
    <row r="93" spans="1:11" x14ac:dyDescent="0.25">
      <c r="A93" s="10">
        <v>45043</v>
      </c>
      <c r="B93" s="9" t="s">
        <v>206</v>
      </c>
      <c r="C93" s="9"/>
      <c r="D93" s="9" t="s">
        <v>180</v>
      </c>
      <c r="E93" s="9" t="s">
        <v>207</v>
      </c>
      <c r="F93" s="9" t="s">
        <v>208</v>
      </c>
      <c r="G93" s="9"/>
      <c r="H93" s="9" t="s">
        <v>34</v>
      </c>
      <c r="I93" s="5" t="s">
        <v>825</v>
      </c>
      <c r="J93" s="5" t="s">
        <v>24</v>
      </c>
      <c r="K93" s="9"/>
    </row>
    <row r="94" spans="1:11" x14ac:dyDescent="0.25">
      <c r="A94" s="4">
        <v>45043</v>
      </c>
      <c r="B94" s="5" t="s">
        <v>209</v>
      </c>
      <c r="C94" s="5">
        <v>47</v>
      </c>
      <c r="D94" s="9" t="s">
        <v>17</v>
      </c>
      <c r="E94" s="5" t="s">
        <v>78</v>
      </c>
      <c r="F94" s="5" t="s">
        <v>210</v>
      </c>
      <c r="G94" s="5"/>
      <c r="H94" s="5" t="s">
        <v>34</v>
      </c>
      <c r="I94" s="5" t="s">
        <v>825</v>
      </c>
      <c r="J94" s="5" t="s">
        <v>24</v>
      </c>
      <c r="K94" s="5"/>
    </row>
    <row r="95" spans="1:11" s="11" customFormat="1" x14ac:dyDescent="0.25">
      <c r="A95" s="10">
        <v>45043</v>
      </c>
      <c r="B95" s="9" t="s">
        <v>211</v>
      </c>
      <c r="C95" s="9">
        <v>70</v>
      </c>
      <c r="D95" s="5" t="s">
        <v>18</v>
      </c>
      <c r="E95" s="9" t="s">
        <v>26</v>
      </c>
      <c r="F95" s="9" t="s">
        <v>212</v>
      </c>
      <c r="G95" s="9" t="s">
        <v>33</v>
      </c>
      <c r="H95" s="5" t="s">
        <v>802</v>
      </c>
      <c r="I95" s="5" t="s">
        <v>825</v>
      </c>
      <c r="J95" s="9" t="s">
        <v>9</v>
      </c>
      <c r="K95" s="9"/>
    </row>
    <row r="96" spans="1:11" s="11" customFormat="1" x14ac:dyDescent="0.25">
      <c r="A96" s="4">
        <v>45044</v>
      </c>
      <c r="B96" s="5" t="s">
        <v>213</v>
      </c>
      <c r="C96" s="5">
        <v>16</v>
      </c>
      <c r="D96" s="5" t="s">
        <v>214</v>
      </c>
      <c r="E96" s="5" t="s">
        <v>215</v>
      </c>
      <c r="F96" s="5" t="s">
        <v>182</v>
      </c>
      <c r="G96" s="5"/>
      <c r="H96" s="5" t="s">
        <v>59</v>
      </c>
      <c r="I96" s="8" t="s">
        <v>216</v>
      </c>
      <c r="J96" s="5" t="s">
        <v>24</v>
      </c>
      <c r="K96" s="5"/>
    </row>
    <row r="97" spans="1:11" s="11" customFormat="1" x14ac:dyDescent="0.25">
      <c r="A97" s="10">
        <v>45044</v>
      </c>
      <c r="B97" s="9" t="s">
        <v>222</v>
      </c>
      <c r="C97" s="9">
        <v>16</v>
      </c>
      <c r="D97" s="5" t="s">
        <v>214</v>
      </c>
      <c r="E97" s="9" t="s">
        <v>215</v>
      </c>
      <c r="F97" s="9" t="s">
        <v>217</v>
      </c>
      <c r="G97" s="9"/>
      <c r="H97" s="9" t="s">
        <v>59</v>
      </c>
      <c r="I97" s="8" t="s">
        <v>216</v>
      </c>
      <c r="J97" s="5" t="s">
        <v>24</v>
      </c>
      <c r="K97" s="9"/>
    </row>
    <row r="98" spans="1:11" x14ac:dyDescent="0.25">
      <c r="A98" s="4">
        <v>45045</v>
      </c>
      <c r="B98" s="5" t="s">
        <v>218</v>
      </c>
      <c r="C98" s="5">
        <v>26</v>
      </c>
      <c r="D98" s="5" t="s">
        <v>100</v>
      </c>
      <c r="E98" s="5" t="s">
        <v>219</v>
      </c>
      <c r="F98" s="5" t="s">
        <v>220</v>
      </c>
      <c r="G98" s="5"/>
      <c r="H98" s="5" t="s">
        <v>802</v>
      </c>
      <c r="I98" s="5" t="s">
        <v>825</v>
      </c>
      <c r="J98" s="5" t="s">
        <v>24</v>
      </c>
      <c r="K98" s="5"/>
    </row>
    <row r="99" spans="1:11" x14ac:dyDescent="0.25">
      <c r="A99" s="7">
        <v>45049</v>
      </c>
      <c r="B99" s="8" t="s">
        <v>223</v>
      </c>
      <c r="C99" s="8">
        <v>70</v>
      </c>
      <c r="D99" s="5" t="s">
        <v>18</v>
      </c>
      <c r="E99" s="8" t="s">
        <v>224</v>
      </c>
      <c r="F99" s="8" t="s">
        <v>131</v>
      </c>
      <c r="G99" s="8" t="s">
        <v>159</v>
      </c>
      <c r="H99" s="5" t="s">
        <v>802</v>
      </c>
      <c r="I99" s="5" t="s">
        <v>825</v>
      </c>
      <c r="J99" s="9" t="s">
        <v>9</v>
      </c>
      <c r="K99" s="8"/>
    </row>
    <row r="100" spans="1:11" s="11" customFormat="1" x14ac:dyDescent="0.25">
      <c r="A100" s="7">
        <v>45049</v>
      </c>
      <c r="B100" s="8" t="s">
        <v>225</v>
      </c>
      <c r="C100" s="8">
        <v>73</v>
      </c>
      <c r="D100" s="8" t="s">
        <v>8</v>
      </c>
      <c r="E100" s="8" t="s">
        <v>43</v>
      </c>
      <c r="F100" s="8" t="s">
        <v>21</v>
      </c>
      <c r="G100" s="8" t="s">
        <v>33</v>
      </c>
      <c r="H100" s="5" t="s">
        <v>802</v>
      </c>
      <c r="I100" s="5" t="s">
        <v>825</v>
      </c>
      <c r="J100" s="9" t="s">
        <v>9</v>
      </c>
      <c r="K100" s="8"/>
    </row>
    <row r="101" spans="1:11" x14ac:dyDescent="0.25">
      <c r="A101" s="7">
        <v>45049</v>
      </c>
      <c r="B101" s="8" t="s">
        <v>226</v>
      </c>
      <c r="C101" s="8">
        <v>76</v>
      </c>
      <c r="D101" s="8" t="s">
        <v>8</v>
      </c>
      <c r="E101" s="8" t="s">
        <v>89</v>
      </c>
      <c r="F101" s="8" t="s">
        <v>227</v>
      </c>
      <c r="G101" s="8" t="s">
        <v>159</v>
      </c>
      <c r="H101" s="5" t="s">
        <v>802</v>
      </c>
      <c r="I101" s="8" t="s">
        <v>228</v>
      </c>
      <c r="J101" s="9" t="s">
        <v>9</v>
      </c>
      <c r="K101" s="8"/>
    </row>
    <row r="102" spans="1:11" x14ac:dyDescent="0.25">
      <c r="A102" s="4">
        <v>45049</v>
      </c>
      <c r="B102" s="5" t="s">
        <v>229</v>
      </c>
      <c r="C102" s="5">
        <v>54</v>
      </c>
      <c r="D102" s="5" t="s">
        <v>230</v>
      </c>
      <c r="E102" s="5" t="s">
        <v>43</v>
      </c>
      <c r="F102" s="5" t="s">
        <v>66</v>
      </c>
      <c r="G102" s="5"/>
      <c r="H102" s="5" t="s">
        <v>34</v>
      </c>
      <c r="I102" s="8" t="s">
        <v>231</v>
      </c>
      <c r="J102" s="5" t="s">
        <v>24</v>
      </c>
      <c r="K102" s="5"/>
    </row>
    <row r="103" spans="1:11" x14ac:dyDescent="0.25">
      <c r="A103" s="10">
        <v>45049</v>
      </c>
      <c r="B103" s="9" t="s">
        <v>232</v>
      </c>
      <c r="C103" s="9">
        <v>52</v>
      </c>
      <c r="D103" s="9" t="s">
        <v>153</v>
      </c>
      <c r="E103" s="9" t="s">
        <v>154</v>
      </c>
      <c r="F103" s="9" t="s">
        <v>233</v>
      </c>
      <c r="G103" s="9"/>
      <c r="H103" s="5" t="s">
        <v>802</v>
      </c>
      <c r="I103" s="8" t="s">
        <v>234</v>
      </c>
      <c r="J103" s="5" t="s">
        <v>24</v>
      </c>
      <c r="K103" s="9"/>
    </row>
    <row r="104" spans="1:11" x14ac:dyDescent="0.25">
      <c r="A104" s="7">
        <v>45049</v>
      </c>
      <c r="B104" s="8" t="s">
        <v>235</v>
      </c>
      <c r="C104" s="8">
        <v>74</v>
      </c>
      <c r="D104" s="8" t="s">
        <v>246</v>
      </c>
      <c r="E104" s="8"/>
      <c r="F104" s="8" t="s">
        <v>21</v>
      </c>
      <c r="G104" s="8" t="s">
        <v>33</v>
      </c>
      <c r="H104" s="5" t="s">
        <v>802</v>
      </c>
      <c r="I104" s="5" t="s">
        <v>825</v>
      </c>
      <c r="J104" s="9" t="s">
        <v>9</v>
      </c>
      <c r="K104" s="8">
        <v>4</v>
      </c>
    </row>
    <row r="105" spans="1:11" x14ac:dyDescent="0.25">
      <c r="A105" s="10">
        <v>45050</v>
      </c>
      <c r="B105" s="9" t="s">
        <v>236</v>
      </c>
      <c r="C105" s="9">
        <v>67</v>
      </c>
      <c r="D105" s="9" t="s">
        <v>1678</v>
      </c>
      <c r="E105" s="9" t="s">
        <v>43</v>
      </c>
      <c r="F105" s="9" t="s">
        <v>21</v>
      </c>
      <c r="G105" s="9"/>
      <c r="H105" s="5" t="s">
        <v>802</v>
      </c>
      <c r="I105" s="5" t="s">
        <v>825</v>
      </c>
      <c r="J105" s="5" t="s">
        <v>24</v>
      </c>
      <c r="K105" s="9"/>
    </row>
    <row r="106" spans="1:11" s="11" customFormat="1" x14ac:dyDescent="0.25">
      <c r="A106" s="4">
        <v>45051</v>
      </c>
      <c r="B106" s="5" t="s">
        <v>237</v>
      </c>
      <c r="C106" s="5">
        <v>33</v>
      </c>
      <c r="D106" s="8" t="s">
        <v>8</v>
      </c>
      <c r="E106" s="5" t="s">
        <v>238</v>
      </c>
      <c r="F106" s="5" t="s">
        <v>239</v>
      </c>
      <c r="G106" s="5"/>
      <c r="H106" s="5" t="s">
        <v>802</v>
      </c>
      <c r="I106" s="5" t="s">
        <v>825</v>
      </c>
      <c r="J106" s="5" t="s">
        <v>24</v>
      </c>
      <c r="K106" s="5"/>
    </row>
    <row r="107" spans="1:11" s="11" customFormat="1" x14ac:dyDescent="0.25">
      <c r="A107" s="10">
        <v>45051</v>
      </c>
      <c r="B107" s="8" t="s">
        <v>240</v>
      </c>
      <c r="C107" s="9">
        <v>68</v>
      </c>
      <c r="D107" s="8" t="s">
        <v>8</v>
      </c>
      <c r="E107" s="9" t="s">
        <v>56</v>
      </c>
      <c r="F107" s="9" t="s">
        <v>115</v>
      </c>
      <c r="G107" s="9" t="s">
        <v>32</v>
      </c>
      <c r="H107" s="5" t="s">
        <v>802</v>
      </c>
      <c r="I107" s="9" t="s">
        <v>1453</v>
      </c>
      <c r="J107" s="9" t="s">
        <v>9</v>
      </c>
      <c r="K107" s="8"/>
    </row>
    <row r="108" spans="1:11" x14ac:dyDescent="0.25">
      <c r="A108" s="4">
        <v>45051</v>
      </c>
      <c r="B108" s="5" t="s">
        <v>241</v>
      </c>
      <c r="C108" s="5">
        <v>70</v>
      </c>
      <c r="D108" s="8" t="s">
        <v>8</v>
      </c>
      <c r="E108" s="5" t="s">
        <v>244</v>
      </c>
      <c r="F108" s="5" t="s">
        <v>242</v>
      </c>
      <c r="G108" s="5" t="s">
        <v>32</v>
      </c>
      <c r="H108" s="5" t="s">
        <v>802</v>
      </c>
      <c r="I108" s="5" t="s">
        <v>825</v>
      </c>
      <c r="J108" s="9" t="s">
        <v>9</v>
      </c>
      <c r="K108" s="8"/>
    </row>
    <row r="109" spans="1:11" x14ac:dyDescent="0.25">
      <c r="A109" s="10">
        <v>45051</v>
      </c>
      <c r="B109" s="9" t="s">
        <v>241</v>
      </c>
      <c r="C109" s="9">
        <v>70</v>
      </c>
      <c r="D109" s="8" t="s">
        <v>8</v>
      </c>
      <c r="E109" s="9" t="s">
        <v>243</v>
      </c>
      <c r="F109" s="9" t="s">
        <v>242</v>
      </c>
      <c r="G109" s="9" t="s">
        <v>32</v>
      </c>
      <c r="H109" s="5" t="s">
        <v>802</v>
      </c>
      <c r="I109" s="5" t="s">
        <v>825</v>
      </c>
      <c r="J109" s="9" t="s">
        <v>9</v>
      </c>
      <c r="K109" s="8"/>
    </row>
    <row r="110" spans="1:11" x14ac:dyDescent="0.25">
      <c r="A110" s="7">
        <v>45051</v>
      </c>
      <c r="B110" s="8" t="s">
        <v>245</v>
      </c>
      <c r="C110" s="8">
        <v>66</v>
      </c>
      <c r="D110" s="8" t="s">
        <v>246</v>
      </c>
      <c r="E110" s="8" t="s">
        <v>106</v>
      </c>
      <c r="F110" s="8" t="s">
        <v>81</v>
      </c>
      <c r="G110" s="8" t="s">
        <v>159</v>
      </c>
      <c r="H110" s="5" t="s">
        <v>802</v>
      </c>
      <c r="I110" s="5" t="s">
        <v>825</v>
      </c>
      <c r="J110" s="9" t="s">
        <v>9</v>
      </c>
      <c r="K110" s="8"/>
    </row>
    <row r="111" spans="1:11" x14ac:dyDescent="0.25">
      <c r="A111" s="7">
        <v>45054</v>
      </c>
      <c r="B111" s="8" t="s">
        <v>247</v>
      </c>
      <c r="C111" s="8">
        <v>64</v>
      </c>
      <c r="D111" s="8" t="s">
        <v>163</v>
      </c>
      <c r="E111" s="8" t="s">
        <v>125</v>
      </c>
      <c r="F111" s="8" t="s">
        <v>39</v>
      </c>
      <c r="G111" s="8" t="s">
        <v>33</v>
      </c>
      <c r="H111" s="5" t="s">
        <v>802</v>
      </c>
      <c r="I111" s="5" t="s">
        <v>825</v>
      </c>
      <c r="J111" s="9" t="s">
        <v>9</v>
      </c>
      <c r="K111" s="8"/>
    </row>
    <row r="112" spans="1:11" x14ac:dyDescent="0.25">
      <c r="A112" s="4">
        <v>45054</v>
      </c>
      <c r="B112" s="5" t="s">
        <v>248</v>
      </c>
      <c r="C112" s="5">
        <v>17</v>
      </c>
      <c r="D112" s="8" t="s">
        <v>163</v>
      </c>
      <c r="E112" s="5" t="s">
        <v>249</v>
      </c>
      <c r="F112" s="5" t="s">
        <v>250</v>
      </c>
      <c r="G112" s="5"/>
      <c r="H112" s="5" t="s">
        <v>34</v>
      </c>
      <c r="I112" s="5" t="s">
        <v>825</v>
      </c>
      <c r="J112" s="5" t="s">
        <v>24</v>
      </c>
      <c r="K112" s="5"/>
    </row>
    <row r="113" spans="1:11" x14ac:dyDescent="0.25">
      <c r="A113" s="10">
        <v>45054</v>
      </c>
      <c r="B113" s="8" t="s">
        <v>251</v>
      </c>
      <c r="C113" s="9">
        <v>67</v>
      </c>
      <c r="D113" s="8" t="s">
        <v>163</v>
      </c>
      <c r="E113" s="9" t="s">
        <v>35</v>
      </c>
      <c r="F113" s="9" t="s">
        <v>252</v>
      </c>
      <c r="G113" s="9" t="s">
        <v>159</v>
      </c>
      <c r="H113" s="5" t="s">
        <v>802</v>
      </c>
      <c r="I113" s="8" t="s">
        <v>253</v>
      </c>
      <c r="J113" s="9" t="s">
        <v>9</v>
      </c>
      <c r="K113" s="8"/>
    </row>
    <row r="114" spans="1:11" x14ac:dyDescent="0.25">
      <c r="A114" s="4">
        <v>45054</v>
      </c>
      <c r="B114" s="5" t="s">
        <v>254</v>
      </c>
      <c r="C114" s="5">
        <v>43</v>
      </c>
      <c r="D114" s="5" t="s">
        <v>100</v>
      </c>
      <c r="E114" s="5" t="s">
        <v>255</v>
      </c>
      <c r="F114" s="5" t="s">
        <v>187</v>
      </c>
      <c r="G114" s="5"/>
      <c r="H114" s="5" t="s">
        <v>802</v>
      </c>
      <c r="I114" s="5" t="s">
        <v>1416</v>
      </c>
      <c r="J114" s="5" t="s">
        <v>24</v>
      </c>
      <c r="K114" s="5"/>
    </row>
    <row r="115" spans="1:11" x14ac:dyDescent="0.25">
      <c r="A115" s="10">
        <v>45056</v>
      </c>
      <c r="B115" s="9" t="s">
        <v>256</v>
      </c>
      <c r="C115" s="9">
        <v>80</v>
      </c>
      <c r="D115" s="5" t="s">
        <v>18</v>
      </c>
      <c r="E115" s="9" t="s">
        <v>257</v>
      </c>
      <c r="F115" s="9" t="s">
        <v>258</v>
      </c>
      <c r="G115" s="9" t="s">
        <v>33</v>
      </c>
      <c r="H115" s="5" t="s">
        <v>802</v>
      </c>
      <c r="I115" s="5" t="s">
        <v>825</v>
      </c>
      <c r="J115" s="9" t="s">
        <v>9</v>
      </c>
      <c r="K115" s="8"/>
    </row>
    <row r="116" spans="1:11" x14ac:dyDescent="0.25">
      <c r="A116" s="4">
        <v>45056</v>
      </c>
      <c r="B116" s="8" t="s">
        <v>259</v>
      </c>
      <c r="C116" s="5">
        <v>73</v>
      </c>
      <c r="D116" s="9" t="s">
        <v>111</v>
      </c>
      <c r="E116" s="5" t="s">
        <v>56</v>
      </c>
      <c r="F116" s="5" t="s">
        <v>115</v>
      </c>
      <c r="G116" s="5" t="s">
        <v>33</v>
      </c>
      <c r="H116" s="5" t="s">
        <v>802</v>
      </c>
      <c r="I116" s="5" t="s">
        <v>825</v>
      </c>
      <c r="J116" s="9" t="s">
        <v>9</v>
      </c>
      <c r="K116" s="8"/>
    </row>
    <row r="117" spans="1:11" x14ac:dyDescent="0.25">
      <c r="A117" s="10">
        <v>45056</v>
      </c>
      <c r="B117" s="9" t="s">
        <v>260</v>
      </c>
      <c r="C117" s="9">
        <v>68</v>
      </c>
      <c r="D117" s="8" t="s">
        <v>163</v>
      </c>
      <c r="E117" s="9" t="s">
        <v>261</v>
      </c>
      <c r="F117" s="9" t="s">
        <v>262</v>
      </c>
      <c r="G117" s="9" t="s">
        <v>159</v>
      </c>
      <c r="H117" s="5" t="s">
        <v>802</v>
      </c>
      <c r="I117" s="5" t="s">
        <v>825</v>
      </c>
      <c r="J117" s="9" t="s">
        <v>9</v>
      </c>
      <c r="K117" s="8"/>
    </row>
    <row r="118" spans="1:11" x14ac:dyDescent="0.25">
      <c r="A118" s="4">
        <v>45056</v>
      </c>
      <c r="B118" s="5" t="s">
        <v>263</v>
      </c>
      <c r="C118" s="5">
        <v>72</v>
      </c>
      <c r="D118" s="5" t="s">
        <v>18</v>
      </c>
      <c r="E118" s="5" t="s">
        <v>61</v>
      </c>
      <c r="F118" s="5" t="s">
        <v>264</v>
      </c>
      <c r="G118" s="5" t="s">
        <v>159</v>
      </c>
      <c r="H118" s="5" t="s">
        <v>802</v>
      </c>
      <c r="I118" s="5" t="s">
        <v>825</v>
      </c>
      <c r="J118" s="9" t="s">
        <v>9</v>
      </c>
      <c r="K118" s="8"/>
    </row>
    <row r="119" spans="1:11" x14ac:dyDescent="0.25">
      <c r="A119" s="10">
        <v>45056</v>
      </c>
      <c r="B119" s="9" t="s">
        <v>282</v>
      </c>
      <c r="C119" s="9">
        <v>40</v>
      </c>
      <c r="D119" s="9" t="s">
        <v>180</v>
      </c>
      <c r="E119" s="9" t="s">
        <v>283</v>
      </c>
      <c r="F119" s="9" t="s">
        <v>284</v>
      </c>
      <c r="G119" s="9"/>
      <c r="H119" s="5" t="s">
        <v>802</v>
      </c>
      <c r="I119" s="5" t="s">
        <v>825</v>
      </c>
      <c r="J119" s="5" t="s">
        <v>24</v>
      </c>
      <c r="K119" s="9"/>
    </row>
    <row r="120" spans="1:11" x14ac:dyDescent="0.25">
      <c r="A120" s="4">
        <v>45057</v>
      </c>
      <c r="B120" s="5" t="s">
        <v>265</v>
      </c>
      <c r="C120" s="5">
        <v>62</v>
      </c>
      <c r="D120" s="5" t="s">
        <v>266</v>
      </c>
      <c r="E120" s="5" t="s">
        <v>56</v>
      </c>
      <c r="F120" s="5" t="s">
        <v>63</v>
      </c>
      <c r="G120" s="5" t="s">
        <v>32</v>
      </c>
      <c r="H120" s="5" t="s">
        <v>802</v>
      </c>
      <c r="I120" s="5" t="s">
        <v>825</v>
      </c>
      <c r="J120" s="9" t="s">
        <v>9</v>
      </c>
      <c r="K120" s="8"/>
    </row>
    <row r="121" spans="1:11" x14ac:dyDescent="0.25">
      <c r="A121" s="10">
        <v>45057</v>
      </c>
      <c r="B121" s="9" t="s">
        <v>267</v>
      </c>
      <c r="C121" s="9">
        <v>60</v>
      </c>
      <c r="D121" s="9" t="s">
        <v>17</v>
      </c>
      <c r="E121" s="9" t="s">
        <v>56</v>
      </c>
      <c r="F121" s="9" t="s">
        <v>63</v>
      </c>
      <c r="G121" s="9" t="s">
        <v>32</v>
      </c>
      <c r="H121" s="5" t="s">
        <v>802</v>
      </c>
      <c r="I121" s="5" t="s">
        <v>825</v>
      </c>
      <c r="J121" s="9" t="s">
        <v>9</v>
      </c>
      <c r="K121" s="8"/>
    </row>
    <row r="122" spans="1:11" x14ac:dyDescent="0.25">
      <c r="A122" s="4">
        <v>45057</v>
      </c>
      <c r="B122" s="5" t="s">
        <v>268</v>
      </c>
      <c r="C122" s="5">
        <v>63</v>
      </c>
      <c r="D122" s="8" t="s">
        <v>8</v>
      </c>
      <c r="E122" s="5" t="s">
        <v>56</v>
      </c>
      <c r="F122" s="5" t="s">
        <v>63</v>
      </c>
      <c r="G122" s="5" t="s">
        <v>32</v>
      </c>
      <c r="H122" s="5" t="s">
        <v>802</v>
      </c>
      <c r="I122" s="5" t="s">
        <v>825</v>
      </c>
      <c r="J122" s="9" t="s">
        <v>9</v>
      </c>
      <c r="K122" s="8"/>
    </row>
    <row r="123" spans="1:11" x14ac:dyDescent="0.25">
      <c r="A123" s="7">
        <v>45061</v>
      </c>
      <c r="B123" s="8" t="s">
        <v>269</v>
      </c>
      <c r="C123" s="8">
        <v>64</v>
      </c>
      <c r="D123" s="8" t="s">
        <v>8</v>
      </c>
      <c r="E123" s="8" t="s">
        <v>271</v>
      </c>
      <c r="F123" s="8" t="s">
        <v>272</v>
      </c>
      <c r="G123" s="8" t="s">
        <v>159</v>
      </c>
      <c r="H123" s="5" t="s">
        <v>802</v>
      </c>
      <c r="I123" s="5" t="s">
        <v>825</v>
      </c>
      <c r="J123" s="9" t="s">
        <v>9</v>
      </c>
      <c r="K123" s="8"/>
    </row>
    <row r="124" spans="1:11" x14ac:dyDescent="0.25">
      <c r="A124" s="4">
        <v>45061</v>
      </c>
      <c r="B124" s="5" t="s">
        <v>270</v>
      </c>
      <c r="C124" s="5">
        <v>74</v>
      </c>
      <c r="D124" s="5"/>
      <c r="E124" s="5"/>
      <c r="F124" s="5"/>
      <c r="G124" s="5" t="s">
        <v>159</v>
      </c>
      <c r="H124" s="8" t="s">
        <v>422</v>
      </c>
      <c r="I124" s="5" t="s">
        <v>825</v>
      </c>
      <c r="J124" s="9" t="s">
        <v>9</v>
      </c>
      <c r="K124" s="8"/>
    </row>
    <row r="125" spans="1:11" x14ac:dyDescent="0.25">
      <c r="A125" s="7">
        <v>45061</v>
      </c>
      <c r="B125" s="8" t="s">
        <v>188</v>
      </c>
      <c r="C125" s="8">
        <v>85</v>
      </c>
      <c r="D125" s="5" t="s">
        <v>18</v>
      </c>
      <c r="E125" s="8" t="s">
        <v>273</v>
      </c>
      <c r="F125" s="8" t="s">
        <v>274</v>
      </c>
      <c r="G125" s="8" t="s">
        <v>275</v>
      </c>
      <c r="H125" s="5" t="s">
        <v>802</v>
      </c>
      <c r="I125" s="5" t="s">
        <v>825</v>
      </c>
      <c r="J125" s="9" t="s">
        <v>9</v>
      </c>
      <c r="K125" s="8"/>
    </row>
    <row r="126" spans="1:11" x14ac:dyDescent="0.25">
      <c r="A126" s="4">
        <v>45061</v>
      </c>
      <c r="B126" s="5" t="s">
        <v>276</v>
      </c>
      <c r="C126" s="5">
        <v>40</v>
      </c>
      <c r="D126" s="5" t="s">
        <v>18</v>
      </c>
      <c r="E126" s="5" t="s">
        <v>26</v>
      </c>
      <c r="F126" s="5" t="s">
        <v>212</v>
      </c>
      <c r="G126" s="5"/>
      <c r="H126" s="5" t="s">
        <v>802</v>
      </c>
      <c r="I126" s="5" t="s">
        <v>825</v>
      </c>
      <c r="J126" s="5" t="s">
        <v>24</v>
      </c>
      <c r="K126" s="5"/>
    </row>
    <row r="127" spans="1:11" x14ac:dyDescent="0.25">
      <c r="A127" s="10">
        <v>45062</v>
      </c>
      <c r="B127" s="9" t="s">
        <v>277</v>
      </c>
      <c r="C127" s="9">
        <v>52</v>
      </c>
      <c r="D127" s="9" t="s">
        <v>278</v>
      </c>
      <c r="E127" s="9" t="s">
        <v>279</v>
      </c>
      <c r="F127" s="9" t="s">
        <v>115</v>
      </c>
      <c r="G127" s="9"/>
      <c r="H127" s="5" t="s">
        <v>802</v>
      </c>
      <c r="I127" s="8" t="s">
        <v>183</v>
      </c>
      <c r="J127" s="5" t="s">
        <v>24</v>
      </c>
      <c r="K127" s="9"/>
    </row>
    <row r="128" spans="1:11" x14ac:dyDescent="0.25">
      <c r="A128" s="4">
        <v>45062</v>
      </c>
      <c r="B128" s="5" t="s">
        <v>295</v>
      </c>
      <c r="C128" s="5">
        <v>27</v>
      </c>
      <c r="D128" s="5" t="s">
        <v>18</v>
      </c>
      <c r="E128" s="5" t="s">
        <v>273</v>
      </c>
      <c r="F128" s="5" t="s">
        <v>274</v>
      </c>
      <c r="G128" s="5"/>
      <c r="H128" s="5" t="s">
        <v>802</v>
      </c>
      <c r="I128" s="5" t="s">
        <v>825</v>
      </c>
      <c r="J128" s="5" t="s">
        <v>24</v>
      </c>
      <c r="K128" s="5"/>
    </row>
    <row r="129" spans="1:11" x14ac:dyDescent="0.25">
      <c r="A129" s="7">
        <v>45062</v>
      </c>
      <c r="B129" s="8" t="s">
        <v>280</v>
      </c>
      <c r="C129" s="8">
        <v>87</v>
      </c>
      <c r="D129" s="5" t="s">
        <v>18</v>
      </c>
      <c r="E129" s="8" t="s">
        <v>89</v>
      </c>
      <c r="F129" s="8" t="s">
        <v>227</v>
      </c>
      <c r="G129" s="8" t="s">
        <v>159</v>
      </c>
      <c r="H129" s="5" t="s">
        <v>802</v>
      </c>
      <c r="I129" s="5" t="s">
        <v>825</v>
      </c>
      <c r="J129" s="9" t="s">
        <v>9</v>
      </c>
      <c r="K129" s="8"/>
    </row>
    <row r="130" spans="1:11" x14ac:dyDescent="0.25">
      <c r="A130" s="4">
        <v>45062</v>
      </c>
      <c r="B130" s="5" t="s">
        <v>281</v>
      </c>
      <c r="C130" s="5">
        <v>92</v>
      </c>
      <c r="D130" s="5" t="s">
        <v>18</v>
      </c>
      <c r="E130" s="5" t="s">
        <v>89</v>
      </c>
      <c r="F130" s="5" t="s">
        <v>75</v>
      </c>
      <c r="G130" s="5" t="s">
        <v>159</v>
      </c>
      <c r="H130" s="5" t="s">
        <v>802</v>
      </c>
      <c r="I130" s="5" t="s">
        <v>825</v>
      </c>
      <c r="J130" s="9" t="s">
        <v>9</v>
      </c>
      <c r="K130" s="8"/>
    </row>
    <row r="131" spans="1:11" x14ac:dyDescent="0.25">
      <c r="A131" s="10">
        <v>45062</v>
      </c>
      <c r="B131" s="9" t="s">
        <v>285</v>
      </c>
      <c r="C131" s="9">
        <v>41</v>
      </c>
      <c r="D131" s="5" t="s">
        <v>18</v>
      </c>
      <c r="E131" s="9" t="s">
        <v>273</v>
      </c>
      <c r="F131" s="9" t="s">
        <v>286</v>
      </c>
      <c r="G131" s="9"/>
      <c r="H131" s="5" t="s">
        <v>802</v>
      </c>
      <c r="I131" s="5" t="s">
        <v>825</v>
      </c>
      <c r="J131" s="5" t="s">
        <v>24</v>
      </c>
      <c r="K131" s="9"/>
    </row>
    <row r="132" spans="1:11" x14ac:dyDescent="0.25">
      <c r="A132" s="4">
        <v>45064</v>
      </c>
      <c r="B132" s="5" t="s">
        <v>307</v>
      </c>
      <c r="C132" s="5">
        <v>49</v>
      </c>
      <c r="D132" s="8" t="s">
        <v>8</v>
      </c>
      <c r="E132" s="5" t="s">
        <v>292</v>
      </c>
      <c r="F132" s="5" t="s">
        <v>66</v>
      </c>
      <c r="G132" s="5"/>
      <c r="H132" s="5" t="s">
        <v>802</v>
      </c>
      <c r="I132" s="5" t="s">
        <v>825</v>
      </c>
      <c r="J132" s="5" t="s">
        <v>24</v>
      </c>
      <c r="K132" s="5"/>
    </row>
    <row r="133" spans="1:11" x14ac:dyDescent="0.25">
      <c r="A133" s="10">
        <v>45064</v>
      </c>
      <c r="B133" s="9" t="s">
        <v>287</v>
      </c>
      <c r="C133" s="9"/>
      <c r="D133" s="9"/>
      <c r="E133" s="9"/>
      <c r="F133" s="9"/>
      <c r="G133" s="9"/>
      <c r="H133" s="5" t="s">
        <v>802</v>
      </c>
      <c r="I133" s="8" t="s">
        <v>303</v>
      </c>
      <c r="J133" s="5" t="s">
        <v>24</v>
      </c>
      <c r="K133" s="9"/>
    </row>
    <row r="134" spans="1:11" x14ac:dyDescent="0.25">
      <c r="A134" s="4">
        <v>45064</v>
      </c>
      <c r="B134" s="5" t="s">
        <v>288</v>
      </c>
      <c r="C134" s="5">
        <v>17</v>
      </c>
      <c r="D134" s="5"/>
      <c r="E134" s="5" t="s">
        <v>292</v>
      </c>
      <c r="F134" s="5" t="s">
        <v>66</v>
      </c>
      <c r="G134" s="5"/>
      <c r="H134" s="5" t="s">
        <v>802</v>
      </c>
      <c r="I134" s="8" t="s">
        <v>293</v>
      </c>
      <c r="J134" s="5" t="s">
        <v>24</v>
      </c>
      <c r="K134" s="5"/>
    </row>
    <row r="135" spans="1:11" x14ac:dyDescent="0.25">
      <c r="A135" s="10">
        <v>45064</v>
      </c>
      <c r="B135" s="9" t="s">
        <v>289</v>
      </c>
      <c r="C135" s="9">
        <v>63</v>
      </c>
      <c r="D135" s="9" t="s">
        <v>17</v>
      </c>
      <c r="E135" s="9" t="s">
        <v>56</v>
      </c>
      <c r="F135" s="9" t="s">
        <v>294</v>
      </c>
      <c r="G135" s="9" t="s">
        <v>33</v>
      </c>
      <c r="H135" s="5" t="s">
        <v>802</v>
      </c>
      <c r="I135" s="5" t="s">
        <v>825</v>
      </c>
      <c r="J135" s="9" t="s">
        <v>9</v>
      </c>
      <c r="K135" s="8"/>
    </row>
    <row r="136" spans="1:11" x14ac:dyDescent="0.25">
      <c r="A136" s="7">
        <v>45064</v>
      </c>
      <c r="B136" s="8" t="s">
        <v>290</v>
      </c>
      <c r="C136" s="8">
        <v>75</v>
      </c>
      <c r="D136" s="8" t="s">
        <v>120</v>
      </c>
      <c r="E136" s="8" t="s">
        <v>56</v>
      </c>
      <c r="F136" s="8" t="s">
        <v>70</v>
      </c>
      <c r="G136" s="8" t="s">
        <v>33</v>
      </c>
      <c r="H136" s="5" t="s">
        <v>802</v>
      </c>
      <c r="I136" s="5" t="s">
        <v>825</v>
      </c>
      <c r="J136" s="9" t="s">
        <v>9</v>
      </c>
      <c r="K136" s="8"/>
    </row>
    <row r="137" spans="1:11" x14ac:dyDescent="0.25">
      <c r="A137" s="10">
        <v>45064</v>
      </c>
      <c r="B137" s="9" t="s">
        <v>291</v>
      </c>
      <c r="C137" s="9"/>
      <c r="D137" s="9" t="s">
        <v>1678</v>
      </c>
      <c r="E137" s="9" t="s">
        <v>56</v>
      </c>
      <c r="F137" s="9" t="s">
        <v>63</v>
      </c>
      <c r="G137" s="9" t="s">
        <v>33</v>
      </c>
      <c r="H137" s="5" t="s">
        <v>802</v>
      </c>
      <c r="I137" s="5" t="s">
        <v>825</v>
      </c>
      <c r="J137" s="9" t="s">
        <v>9</v>
      </c>
      <c r="K137" s="8"/>
    </row>
    <row r="138" spans="1:11" x14ac:dyDescent="0.25">
      <c r="A138" s="4">
        <v>45064</v>
      </c>
      <c r="B138" s="8" t="s">
        <v>296</v>
      </c>
      <c r="C138" s="5">
        <v>69</v>
      </c>
      <c r="D138" s="8" t="s">
        <v>120</v>
      </c>
      <c r="E138" s="5" t="s">
        <v>56</v>
      </c>
      <c r="F138" s="5" t="s">
        <v>63</v>
      </c>
      <c r="G138" s="5" t="s">
        <v>32</v>
      </c>
      <c r="H138" s="5" t="s">
        <v>802</v>
      </c>
      <c r="I138" s="5" t="s">
        <v>825</v>
      </c>
      <c r="J138" s="9" t="s">
        <v>9</v>
      </c>
      <c r="K138" s="8"/>
    </row>
    <row r="139" spans="1:11" x14ac:dyDescent="0.25">
      <c r="A139" s="10">
        <v>45064</v>
      </c>
      <c r="B139" s="9" t="s">
        <v>297</v>
      </c>
      <c r="C139" s="9">
        <v>64</v>
      </c>
      <c r="D139" s="5" t="s">
        <v>18</v>
      </c>
      <c r="E139" s="9" t="s">
        <v>91</v>
      </c>
      <c r="F139" s="9" t="s">
        <v>298</v>
      </c>
      <c r="G139" s="9" t="s">
        <v>33</v>
      </c>
      <c r="H139" s="5" t="s">
        <v>802</v>
      </c>
      <c r="I139" s="5" t="s">
        <v>825</v>
      </c>
      <c r="J139" s="9" t="s">
        <v>9</v>
      </c>
      <c r="K139" s="8"/>
    </row>
    <row r="140" spans="1:11" x14ac:dyDescent="0.25">
      <c r="A140" s="4">
        <v>45064</v>
      </c>
      <c r="B140" s="5" t="s">
        <v>299</v>
      </c>
      <c r="C140" s="5">
        <v>70</v>
      </c>
      <c r="D140" s="8" t="s">
        <v>8</v>
      </c>
      <c r="E140" s="5" t="s">
        <v>300</v>
      </c>
      <c r="F140" s="5" t="s">
        <v>301</v>
      </c>
      <c r="G140" s="5" t="s">
        <v>32</v>
      </c>
      <c r="H140" s="5" t="s">
        <v>802</v>
      </c>
      <c r="I140" s="8" t="s">
        <v>302</v>
      </c>
      <c r="J140" s="9" t="s">
        <v>9</v>
      </c>
      <c r="K140" s="8"/>
    </row>
    <row r="141" spans="1:11" x14ac:dyDescent="0.25">
      <c r="A141" s="10">
        <v>45064</v>
      </c>
      <c r="B141" s="9" t="s">
        <v>304</v>
      </c>
      <c r="C141" s="9">
        <v>24</v>
      </c>
      <c r="D141" s="8" t="s">
        <v>120</v>
      </c>
      <c r="E141" s="9" t="s">
        <v>112</v>
      </c>
      <c r="F141" s="9" t="s">
        <v>305</v>
      </c>
      <c r="G141" s="9"/>
      <c r="H141" s="5" t="s">
        <v>802</v>
      </c>
      <c r="I141" s="5" t="s">
        <v>825</v>
      </c>
      <c r="J141" s="5" t="s">
        <v>24</v>
      </c>
      <c r="K141" s="9"/>
    </row>
    <row r="142" spans="1:11" x14ac:dyDescent="0.25">
      <c r="A142" s="4">
        <v>45064</v>
      </c>
      <c r="B142" s="5" t="s">
        <v>306</v>
      </c>
      <c r="C142" s="5">
        <v>64</v>
      </c>
      <c r="D142" s="5" t="s">
        <v>18</v>
      </c>
      <c r="E142" s="5" t="s">
        <v>61</v>
      </c>
      <c r="F142" s="5" t="s">
        <v>139</v>
      </c>
      <c r="G142" s="5" t="s">
        <v>159</v>
      </c>
      <c r="H142" s="5" t="s">
        <v>802</v>
      </c>
      <c r="I142" s="5" t="s">
        <v>825</v>
      </c>
      <c r="J142" s="9" t="s">
        <v>9</v>
      </c>
      <c r="K142" s="8"/>
    </row>
    <row r="143" spans="1:11" x14ac:dyDescent="0.25">
      <c r="A143" s="10">
        <v>45064</v>
      </c>
      <c r="B143" s="9" t="s">
        <v>319</v>
      </c>
      <c r="C143" s="9">
        <v>67</v>
      </c>
      <c r="D143" s="9" t="s">
        <v>266</v>
      </c>
      <c r="E143" s="9" t="s">
        <v>56</v>
      </c>
      <c r="F143" s="9" t="s">
        <v>63</v>
      </c>
      <c r="G143" s="9" t="s">
        <v>32</v>
      </c>
      <c r="H143" s="5" t="s">
        <v>802</v>
      </c>
      <c r="I143" s="5" t="s">
        <v>825</v>
      </c>
      <c r="J143" s="9" t="s">
        <v>9</v>
      </c>
      <c r="K143" s="8"/>
    </row>
    <row r="144" spans="1:11" x14ac:dyDescent="0.25">
      <c r="A144" s="4">
        <v>45068</v>
      </c>
      <c r="B144" s="5" t="s">
        <v>308</v>
      </c>
      <c r="C144" s="5">
        <v>22</v>
      </c>
      <c r="D144" s="5" t="s">
        <v>18</v>
      </c>
      <c r="E144" s="5" t="s">
        <v>224</v>
      </c>
      <c r="F144" s="5" t="s">
        <v>309</v>
      </c>
      <c r="G144" s="5"/>
      <c r="H144" s="5" t="s">
        <v>802</v>
      </c>
      <c r="I144" s="8" t="s">
        <v>310</v>
      </c>
      <c r="J144" s="5" t="s">
        <v>24</v>
      </c>
      <c r="K144" s="5"/>
    </row>
    <row r="145" spans="1:11" x14ac:dyDescent="0.25">
      <c r="A145" s="10">
        <v>45069</v>
      </c>
      <c r="B145" s="9" t="s">
        <v>334</v>
      </c>
      <c r="C145" s="9">
        <v>58</v>
      </c>
      <c r="D145" s="5" t="s">
        <v>18</v>
      </c>
      <c r="E145" s="9" t="s">
        <v>335</v>
      </c>
      <c r="F145" s="9" t="s">
        <v>139</v>
      </c>
      <c r="G145" s="9"/>
      <c r="H145" s="9" t="s">
        <v>34</v>
      </c>
      <c r="I145" s="5" t="s">
        <v>825</v>
      </c>
      <c r="J145" s="5" t="s">
        <v>24</v>
      </c>
      <c r="K145" s="9"/>
    </row>
    <row r="146" spans="1:11" x14ac:dyDescent="0.25">
      <c r="A146" s="4">
        <v>45070</v>
      </c>
      <c r="B146" s="5" t="s">
        <v>311</v>
      </c>
      <c r="C146" s="5">
        <v>58</v>
      </c>
      <c r="D146" s="5" t="s">
        <v>266</v>
      </c>
      <c r="E146" s="5" t="s">
        <v>312</v>
      </c>
      <c r="F146" s="5" t="s">
        <v>294</v>
      </c>
      <c r="G146" s="5"/>
      <c r="H146" s="5" t="s">
        <v>802</v>
      </c>
      <c r="I146" s="5" t="s">
        <v>825</v>
      </c>
      <c r="J146" s="5" t="s">
        <v>24</v>
      </c>
      <c r="K146" s="5"/>
    </row>
    <row r="147" spans="1:11" x14ac:dyDescent="0.25">
      <c r="A147" s="10">
        <v>45070</v>
      </c>
      <c r="B147" s="9" t="s">
        <v>313</v>
      </c>
      <c r="C147" s="9">
        <v>16</v>
      </c>
      <c r="D147" s="5" t="s">
        <v>230</v>
      </c>
      <c r="E147" s="9" t="s">
        <v>112</v>
      </c>
      <c r="F147" s="9" t="s">
        <v>305</v>
      </c>
      <c r="G147" s="9"/>
      <c r="H147" s="5" t="s">
        <v>802</v>
      </c>
      <c r="I147" s="8" t="s">
        <v>175</v>
      </c>
      <c r="J147" s="5" t="s">
        <v>24</v>
      </c>
      <c r="K147" s="9"/>
    </row>
    <row r="148" spans="1:11" x14ac:dyDescent="0.25">
      <c r="A148" s="4">
        <v>45070</v>
      </c>
      <c r="B148" s="5" t="s">
        <v>314</v>
      </c>
      <c r="C148" s="5">
        <v>75</v>
      </c>
      <c r="D148" s="5" t="s">
        <v>266</v>
      </c>
      <c r="E148" s="5" t="s">
        <v>56</v>
      </c>
      <c r="F148" s="5" t="s">
        <v>63</v>
      </c>
      <c r="G148" s="5" t="s">
        <v>189</v>
      </c>
      <c r="H148" s="5" t="s">
        <v>802</v>
      </c>
      <c r="I148" s="5" t="s">
        <v>825</v>
      </c>
      <c r="J148" s="9" t="s">
        <v>9</v>
      </c>
      <c r="K148" s="8"/>
    </row>
    <row r="149" spans="1:11" x14ac:dyDescent="0.25">
      <c r="A149" s="10">
        <v>45070</v>
      </c>
      <c r="B149" s="9" t="s">
        <v>315</v>
      </c>
      <c r="C149" s="9">
        <v>71</v>
      </c>
      <c r="D149" s="9" t="s">
        <v>111</v>
      </c>
      <c r="E149" s="9" t="s">
        <v>318</v>
      </c>
      <c r="F149" s="9" t="s">
        <v>317</v>
      </c>
      <c r="G149" s="9" t="s">
        <v>159</v>
      </c>
      <c r="H149" s="5" t="s">
        <v>802</v>
      </c>
      <c r="I149" s="5" t="s">
        <v>825</v>
      </c>
      <c r="J149" s="9" t="s">
        <v>9</v>
      </c>
      <c r="K149" s="8"/>
    </row>
    <row r="150" spans="1:11" x14ac:dyDescent="0.25">
      <c r="A150" s="4">
        <v>45070</v>
      </c>
      <c r="B150" s="5" t="s">
        <v>316</v>
      </c>
      <c r="C150" s="5">
        <v>62</v>
      </c>
      <c r="D150" s="9" t="s">
        <v>111</v>
      </c>
      <c r="E150" s="5" t="s">
        <v>56</v>
      </c>
      <c r="F150" s="5" t="s">
        <v>63</v>
      </c>
      <c r="G150" s="5" t="s">
        <v>32</v>
      </c>
      <c r="H150" s="5" t="s">
        <v>34</v>
      </c>
      <c r="I150" s="5" t="s">
        <v>825</v>
      </c>
      <c r="J150" s="9" t="s">
        <v>9</v>
      </c>
      <c r="K150" s="8"/>
    </row>
    <row r="151" spans="1:11" x14ac:dyDescent="0.25">
      <c r="A151" s="4">
        <v>45075</v>
      </c>
      <c r="B151" s="5" t="s">
        <v>337</v>
      </c>
      <c r="C151" s="5">
        <v>32</v>
      </c>
      <c r="D151" s="5" t="s">
        <v>18</v>
      </c>
      <c r="E151" s="5" t="s">
        <v>61</v>
      </c>
      <c r="F151" s="5" t="s">
        <v>309</v>
      </c>
      <c r="G151" s="5"/>
      <c r="H151" s="5" t="s">
        <v>34</v>
      </c>
      <c r="I151" s="5" t="s">
        <v>825</v>
      </c>
      <c r="J151" s="5" t="s">
        <v>24</v>
      </c>
      <c r="K151" s="5"/>
    </row>
    <row r="152" spans="1:11" x14ac:dyDescent="0.25">
      <c r="A152" s="10">
        <v>45075</v>
      </c>
      <c r="B152" s="9" t="s">
        <v>320</v>
      </c>
      <c r="C152" s="9">
        <v>25</v>
      </c>
      <c r="D152" s="5" t="s">
        <v>1679</v>
      </c>
      <c r="E152" s="9" t="s">
        <v>321</v>
      </c>
      <c r="F152" s="9" t="s">
        <v>322</v>
      </c>
      <c r="G152" s="9"/>
      <c r="H152" s="5" t="s">
        <v>802</v>
      </c>
      <c r="I152" s="8" t="s">
        <v>303</v>
      </c>
      <c r="J152" s="5" t="s">
        <v>24</v>
      </c>
      <c r="K152" s="9">
        <v>3438444965</v>
      </c>
    </row>
    <row r="153" spans="1:11" x14ac:dyDescent="0.25">
      <c r="A153" s="4">
        <v>45075</v>
      </c>
      <c r="B153" s="5" t="s">
        <v>323</v>
      </c>
      <c r="C153" s="5">
        <v>66</v>
      </c>
      <c r="D153" s="5" t="s">
        <v>18</v>
      </c>
      <c r="E153" s="5" t="s">
        <v>273</v>
      </c>
      <c r="F153" s="5" t="s">
        <v>324</v>
      </c>
      <c r="G153" s="5" t="s">
        <v>33</v>
      </c>
      <c r="H153" s="5" t="s">
        <v>802</v>
      </c>
      <c r="I153" s="5" t="s">
        <v>825</v>
      </c>
      <c r="J153" s="9" t="s">
        <v>9</v>
      </c>
      <c r="K153" s="8"/>
    </row>
    <row r="154" spans="1:11" x14ac:dyDescent="0.25">
      <c r="A154" s="7">
        <v>45075</v>
      </c>
      <c r="B154" s="8" t="s">
        <v>325</v>
      </c>
      <c r="C154" s="8">
        <v>83</v>
      </c>
      <c r="D154" s="5" t="s">
        <v>18</v>
      </c>
      <c r="E154" s="8" t="s">
        <v>89</v>
      </c>
      <c r="F154" s="8" t="s">
        <v>227</v>
      </c>
      <c r="G154" s="8" t="s">
        <v>159</v>
      </c>
      <c r="H154" s="5" t="s">
        <v>802</v>
      </c>
      <c r="I154" s="5" t="s">
        <v>825</v>
      </c>
      <c r="J154" s="9" t="s">
        <v>9</v>
      </c>
      <c r="K154" s="8"/>
    </row>
    <row r="155" spans="1:11" x14ac:dyDescent="0.25">
      <c r="A155" s="4">
        <v>45075</v>
      </c>
      <c r="B155" s="5" t="s">
        <v>326</v>
      </c>
      <c r="C155" s="5">
        <v>70</v>
      </c>
      <c r="D155" s="5" t="s">
        <v>18</v>
      </c>
      <c r="E155" s="5" t="s">
        <v>89</v>
      </c>
      <c r="F155" s="5" t="s">
        <v>75</v>
      </c>
      <c r="G155" s="5" t="s">
        <v>33</v>
      </c>
      <c r="H155" s="5" t="s">
        <v>802</v>
      </c>
      <c r="I155" s="5" t="s">
        <v>825</v>
      </c>
      <c r="J155" s="9" t="s">
        <v>9</v>
      </c>
      <c r="K155" s="8"/>
    </row>
    <row r="156" spans="1:11" x14ac:dyDescent="0.25">
      <c r="A156" s="7">
        <v>45075</v>
      </c>
      <c r="B156" s="8" t="s">
        <v>327</v>
      </c>
      <c r="C156" s="8">
        <v>93</v>
      </c>
      <c r="D156" s="5" t="s">
        <v>18</v>
      </c>
      <c r="E156" s="8" t="s">
        <v>328</v>
      </c>
      <c r="F156" s="8" t="s">
        <v>329</v>
      </c>
      <c r="G156" s="8" t="s">
        <v>33</v>
      </c>
      <c r="H156" s="9" t="s">
        <v>34</v>
      </c>
      <c r="I156" s="5" t="s">
        <v>825</v>
      </c>
      <c r="J156" s="9" t="s">
        <v>9</v>
      </c>
      <c r="K156" s="8"/>
    </row>
    <row r="157" spans="1:11" x14ac:dyDescent="0.25">
      <c r="A157" s="7">
        <v>45075</v>
      </c>
      <c r="B157" s="8" t="s">
        <v>330</v>
      </c>
      <c r="C157" s="8">
        <v>63</v>
      </c>
      <c r="D157" s="8" t="s">
        <v>331</v>
      </c>
      <c r="E157" s="8" t="s">
        <v>56</v>
      </c>
      <c r="F157" s="8" t="s">
        <v>63</v>
      </c>
      <c r="G157" s="8"/>
      <c r="H157" s="5" t="s">
        <v>802</v>
      </c>
      <c r="I157" s="8" t="s">
        <v>332</v>
      </c>
      <c r="J157" s="5" t="s">
        <v>24</v>
      </c>
      <c r="K157" s="5"/>
    </row>
    <row r="158" spans="1:11" x14ac:dyDescent="0.25">
      <c r="A158" s="7">
        <v>45075</v>
      </c>
      <c r="B158" s="8" t="s">
        <v>333</v>
      </c>
      <c r="C158" s="8">
        <v>76</v>
      </c>
      <c r="D158" s="8" t="s">
        <v>266</v>
      </c>
      <c r="E158" s="8" t="s">
        <v>56</v>
      </c>
      <c r="F158" s="8" t="s">
        <v>63</v>
      </c>
      <c r="G158" s="8" t="s">
        <v>159</v>
      </c>
      <c r="H158" s="5" t="s">
        <v>802</v>
      </c>
      <c r="I158" s="5" t="s">
        <v>825</v>
      </c>
      <c r="J158" s="9" t="s">
        <v>9</v>
      </c>
      <c r="K158" s="8"/>
    </row>
    <row r="159" spans="1:11" x14ac:dyDescent="0.25">
      <c r="A159" s="4">
        <v>45075</v>
      </c>
      <c r="B159" s="5" t="s">
        <v>336</v>
      </c>
      <c r="C159" s="5">
        <v>34</v>
      </c>
      <c r="D159" s="5" t="s">
        <v>18</v>
      </c>
      <c r="E159" s="5" t="s">
        <v>91</v>
      </c>
      <c r="F159" s="5" t="s">
        <v>128</v>
      </c>
      <c r="G159" s="5"/>
      <c r="H159" s="5" t="s">
        <v>34</v>
      </c>
      <c r="I159" s="5" t="s">
        <v>825</v>
      </c>
      <c r="J159" s="5" t="s">
        <v>24</v>
      </c>
      <c r="K159" s="5"/>
    </row>
    <row r="160" spans="1:11" x14ac:dyDescent="0.25">
      <c r="A160" s="7">
        <v>45076</v>
      </c>
      <c r="B160" s="8" t="s">
        <v>338</v>
      </c>
      <c r="C160" s="8">
        <v>82</v>
      </c>
      <c r="D160" s="5" t="s">
        <v>18</v>
      </c>
      <c r="E160" s="8" t="s">
        <v>89</v>
      </c>
      <c r="F160" s="8" t="s">
        <v>339</v>
      </c>
      <c r="G160" s="8" t="s">
        <v>33</v>
      </c>
      <c r="H160" s="5" t="s">
        <v>802</v>
      </c>
      <c r="I160" s="5" t="s">
        <v>825</v>
      </c>
      <c r="J160" s="9" t="s">
        <v>9</v>
      </c>
      <c r="K160" s="9"/>
    </row>
    <row r="161" spans="1:11" x14ac:dyDescent="0.25">
      <c r="A161" s="4">
        <v>45076</v>
      </c>
      <c r="B161" s="5" t="s">
        <v>340</v>
      </c>
      <c r="C161" s="5">
        <v>83</v>
      </c>
      <c r="D161" s="9" t="s">
        <v>1551</v>
      </c>
      <c r="E161" s="5" t="s">
        <v>300</v>
      </c>
      <c r="F161" s="5" t="s">
        <v>301</v>
      </c>
      <c r="G161" s="5" t="s">
        <v>159</v>
      </c>
      <c r="H161" s="5" t="s">
        <v>802</v>
      </c>
      <c r="I161" s="5" t="s">
        <v>825</v>
      </c>
      <c r="J161" s="9" t="s">
        <v>9</v>
      </c>
      <c r="K161" s="5"/>
    </row>
    <row r="162" spans="1:11" x14ac:dyDescent="0.25">
      <c r="A162" s="7">
        <v>45076</v>
      </c>
      <c r="B162" s="8" t="s">
        <v>341</v>
      </c>
      <c r="C162" s="8">
        <v>50</v>
      </c>
      <c r="D162" s="8" t="s">
        <v>266</v>
      </c>
      <c r="E162" s="8"/>
      <c r="F162" s="8" t="s">
        <v>63</v>
      </c>
      <c r="G162" s="8"/>
      <c r="H162" s="5" t="s">
        <v>802</v>
      </c>
      <c r="I162" s="5" t="s">
        <v>825</v>
      </c>
      <c r="J162" s="5" t="s">
        <v>24</v>
      </c>
      <c r="K162" s="9"/>
    </row>
    <row r="163" spans="1:11" x14ac:dyDescent="0.25">
      <c r="A163" s="4">
        <v>45078</v>
      </c>
      <c r="B163" s="5" t="s">
        <v>342</v>
      </c>
      <c r="C163" s="5">
        <v>78</v>
      </c>
      <c r="D163" s="8" t="s">
        <v>8</v>
      </c>
      <c r="E163" s="5" t="s">
        <v>78</v>
      </c>
      <c r="F163" s="5" t="s">
        <v>343</v>
      </c>
      <c r="G163" s="5" t="s">
        <v>159</v>
      </c>
      <c r="H163" s="5" t="s">
        <v>802</v>
      </c>
      <c r="I163" s="5" t="s">
        <v>825</v>
      </c>
      <c r="J163" s="9" t="s">
        <v>9</v>
      </c>
      <c r="K163" s="5"/>
    </row>
    <row r="164" spans="1:11" x14ac:dyDescent="0.25">
      <c r="A164" s="7">
        <v>45078</v>
      </c>
      <c r="B164" s="8" t="s">
        <v>344</v>
      </c>
      <c r="C164" s="8">
        <v>63</v>
      </c>
      <c r="D164" s="8" t="s">
        <v>8</v>
      </c>
      <c r="E164" s="8" t="s">
        <v>43</v>
      </c>
      <c r="F164" s="8" t="s">
        <v>345</v>
      </c>
      <c r="G164" s="8" t="s">
        <v>32</v>
      </c>
      <c r="H164" s="5" t="s">
        <v>802</v>
      </c>
      <c r="I164" s="5" t="s">
        <v>825</v>
      </c>
      <c r="J164" s="9" t="s">
        <v>9</v>
      </c>
      <c r="K164" s="9"/>
    </row>
    <row r="165" spans="1:11" x14ac:dyDescent="0.25">
      <c r="A165" s="7">
        <v>45079</v>
      </c>
      <c r="B165" s="8" t="s">
        <v>346</v>
      </c>
      <c r="C165" s="8">
        <v>89</v>
      </c>
      <c r="D165" s="5" t="s">
        <v>18</v>
      </c>
      <c r="E165" s="8" t="s">
        <v>91</v>
      </c>
      <c r="F165" s="8" t="s">
        <v>347</v>
      </c>
      <c r="G165" s="8" t="s">
        <v>159</v>
      </c>
      <c r="H165" s="5" t="s">
        <v>802</v>
      </c>
      <c r="I165" s="5" t="s">
        <v>825</v>
      </c>
      <c r="J165" s="9" t="s">
        <v>9</v>
      </c>
      <c r="K165" s="5">
        <v>3436119888</v>
      </c>
    </row>
    <row r="166" spans="1:11" x14ac:dyDescent="0.25">
      <c r="A166" s="7">
        <v>45079</v>
      </c>
      <c r="B166" s="8" t="s">
        <v>348</v>
      </c>
      <c r="C166" s="8">
        <v>87</v>
      </c>
      <c r="D166" s="5" t="s">
        <v>18</v>
      </c>
      <c r="E166" s="8" t="s">
        <v>89</v>
      </c>
      <c r="F166" s="8" t="s">
        <v>39</v>
      </c>
      <c r="G166" s="8" t="s">
        <v>159</v>
      </c>
      <c r="H166" s="5" t="s">
        <v>802</v>
      </c>
      <c r="I166" s="5" t="s">
        <v>825</v>
      </c>
      <c r="J166" s="9" t="s">
        <v>9</v>
      </c>
      <c r="K166" s="9"/>
    </row>
    <row r="167" spans="1:11" x14ac:dyDescent="0.25">
      <c r="A167" s="4">
        <v>45082</v>
      </c>
      <c r="B167" s="5" t="s">
        <v>349</v>
      </c>
      <c r="C167" s="5">
        <v>72</v>
      </c>
      <c r="D167" s="5" t="s">
        <v>18</v>
      </c>
      <c r="E167" s="5" t="s">
        <v>91</v>
      </c>
      <c r="F167" s="5" t="s">
        <v>347</v>
      </c>
      <c r="G167" s="5" t="s">
        <v>159</v>
      </c>
      <c r="H167" s="5" t="s">
        <v>802</v>
      </c>
      <c r="I167" s="5" t="s">
        <v>825</v>
      </c>
      <c r="J167" s="9" t="s">
        <v>9</v>
      </c>
      <c r="K167" s="5"/>
    </row>
    <row r="168" spans="1:11" x14ac:dyDescent="0.25">
      <c r="A168" s="10">
        <v>45083</v>
      </c>
      <c r="B168" s="9" t="s">
        <v>350</v>
      </c>
      <c r="C168" s="9">
        <v>72</v>
      </c>
      <c r="D168" s="5" t="s">
        <v>18</v>
      </c>
      <c r="E168" s="9" t="s">
        <v>61</v>
      </c>
      <c r="F168" s="9" t="s">
        <v>351</v>
      </c>
      <c r="G168" s="9" t="s">
        <v>159</v>
      </c>
      <c r="H168" s="5" t="s">
        <v>802</v>
      </c>
      <c r="I168" s="5" t="s">
        <v>825</v>
      </c>
      <c r="J168" s="9" t="s">
        <v>9</v>
      </c>
      <c r="K168" s="9"/>
    </row>
    <row r="169" spans="1:11" x14ac:dyDescent="0.25">
      <c r="A169" s="7">
        <v>45085</v>
      </c>
      <c r="B169" s="8" t="s">
        <v>352</v>
      </c>
      <c r="C169" s="8">
        <v>75</v>
      </c>
      <c r="D169" s="8" t="s">
        <v>120</v>
      </c>
      <c r="E169" s="8" t="s">
        <v>89</v>
      </c>
      <c r="F169" s="8" t="s">
        <v>39</v>
      </c>
      <c r="G169" s="8" t="s">
        <v>159</v>
      </c>
      <c r="H169" s="5" t="s">
        <v>802</v>
      </c>
      <c r="I169" s="5" t="s">
        <v>825</v>
      </c>
      <c r="J169" s="9" t="s">
        <v>9</v>
      </c>
      <c r="K169" s="5"/>
    </row>
    <row r="170" spans="1:11" x14ac:dyDescent="0.25">
      <c r="A170" s="10">
        <v>45085</v>
      </c>
      <c r="B170" s="9" t="s">
        <v>353</v>
      </c>
      <c r="C170" s="9">
        <v>67</v>
      </c>
      <c r="D170" s="5" t="s">
        <v>18</v>
      </c>
      <c r="E170" s="9" t="s">
        <v>224</v>
      </c>
      <c r="F170" s="9" t="s">
        <v>354</v>
      </c>
      <c r="G170" s="9" t="s">
        <v>159</v>
      </c>
      <c r="H170" s="5" t="s">
        <v>802</v>
      </c>
      <c r="I170" s="5" t="s">
        <v>825</v>
      </c>
      <c r="J170" s="9" t="s">
        <v>9</v>
      </c>
      <c r="K170" s="9"/>
    </row>
    <row r="171" spans="1:11" x14ac:dyDescent="0.25">
      <c r="A171" s="4">
        <v>45085</v>
      </c>
      <c r="B171" s="5" t="s">
        <v>355</v>
      </c>
      <c r="C171" s="5">
        <v>52</v>
      </c>
      <c r="D171" s="8" t="s">
        <v>8</v>
      </c>
      <c r="E171" s="5" t="s">
        <v>356</v>
      </c>
      <c r="F171" s="5" t="s">
        <v>357</v>
      </c>
      <c r="G171" s="5" t="s">
        <v>32</v>
      </c>
      <c r="H171" s="5" t="s">
        <v>802</v>
      </c>
      <c r="I171" s="5" t="s">
        <v>825</v>
      </c>
      <c r="J171" s="9" t="s">
        <v>9</v>
      </c>
      <c r="K171" s="5">
        <v>3435114763</v>
      </c>
    </row>
    <row r="172" spans="1:11" x14ac:dyDescent="0.25">
      <c r="A172" s="10">
        <v>45086</v>
      </c>
      <c r="B172" s="9" t="s">
        <v>358</v>
      </c>
      <c r="C172" s="9">
        <v>89</v>
      </c>
      <c r="D172" s="5" t="s">
        <v>18</v>
      </c>
      <c r="E172" s="9" t="s">
        <v>89</v>
      </c>
      <c r="F172" s="9" t="s">
        <v>359</v>
      </c>
      <c r="G172" s="9" t="s">
        <v>159</v>
      </c>
      <c r="H172" s="5" t="s">
        <v>802</v>
      </c>
      <c r="I172" s="5" t="s">
        <v>825</v>
      </c>
      <c r="J172" s="9" t="s">
        <v>9</v>
      </c>
      <c r="K172" s="9"/>
    </row>
    <row r="173" spans="1:11" x14ac:dyDescent="0.25">
      <c r="A173" s="4">
        <v>45086</v>
      </c>
      <c r="B173" s="5" t="s">
        <v>360</v>
      </c>
      <c r="C173" s="5">
        <v>66</v>
      </c>
      <c r="D173" s="5" t="s">
        <v>266</v>
      </c>
      <c r="E173" s="5" t="s">
        <v>362</v>
      </c>
      <c r="F173" s="5" t="s">
        <v>361</v>
      </c>
      <c r="G173" s="5" t="s">
        <v>159</v>
      </c>
      <c r="H173" s="5" t="s">
        <v>802</v>
      </c>
      <c r="I173" s="5" t="s">
        <v>825</v>
      </c>
      <c r="J173" s="9" t="s">
        <v>9</v>
      </c>
      <c r="K173" s="5"/>
    </row>
    <row r="174" spans="1:11" x14ac:dyDescent="0.25">
      <c r="A174" s="10">
        <v>45086</v>
      </c>
      <c r="B174" s="9" t="s">
        <v>363</v>
      </c>
      <c r="C174" s="9"/>
      <c r="D174" s="9" t="s">
        <v>266</v>
      </c>
      <c r="E174" s="9" t="s">
        <v>56</v>
      </c>
      <c r="F174" s="9" t="s">
        <v>364</v>
      </c>
      <c r="G174" s="9" t="s">
        <v>32</v>
      </c>
      <c r="H174" s="5" t="s">
        <v>802</v>
      </c>
      <c r="I174" s="5" t="s">
        <v>825</v>
      </c>
      <c r="J174" s="9" t="s">
        <v>9</v>
      </c>
      <c r="K174" s="9"/>
    </row>
    <row r="175" spans="1:11" x14ac:dyDescent="0.25">
      <c r="A175" s="4">
        <v>45089</v>
      </c>
      <c r="B175" s="5" t="s">
        <v>365</v>
      </c>
      <c r="C175" s="5">
        <v>68</v>
      </c>
      <c r="D175" s="5" t="s">
        <v>100</v>
      </c>
      <c r="E175" s="5" t="s">
        <v>366</v>
      </c>
      <c r="F175" s="5" t="s">
        <v>357</v>
      </c>
      <c r="G175" s="5" t="s">
        <v>32</v>
      </c>
      <c r="H175" s="5" t="s">
        <v>802</v>
      </c>
      <c r="I175" s="5" t="s">
        <v>825</v>
      </c>
      <c r="J175" s="9" t="s">
        <v>9</v>
      </c>
      <c r="K175" s="5"/>
    </row>
    <row r="176" spans="1:11" x14ac:dyDescent="0.25">
      <c r="A176" s="10">
        <v>45089</v>
      </c>
      <c r="B176" s="9" t="s">
        <v>367</v>
      </c>
      <c r="C176" s="9">
        <v>66</v>
      </c>
      <c r="D176" s="8" t="s">
        <v>8</v>
      </c>
      <c r="E176" s="9" t="s">
        <v>366</v>
      </c>
      <c r="F176" s="9" t="s">
        <v>368</v>
      </c>
      <c r="G176" s="9" t="s">
        <v>32</v>
      </c>
      <c r="H176" s="5" t="s">
        <v>802</v>
      </c>
      <c r="I176" s="5" t="s">
        <v>825</v>
      </c>
      <c r="J176" s="9" t="s">
        <v>9</v>
      </c>
      <c r="K176" s="9"/>
    </row>
    <row r="177" spans="1:11" x14ac:dyDescent="0.25">
      <c r="A177" s="4">
        <v>45089</v>
      </c>
      <c r="B177" s="5" t="s">
        <v>369</v>
      </c>
      <c r="C177" s="5">
        <v>84</v>
      </c>
      <c r="D177" s="8" t="s">
        <v>163</v>
      </c>
      <c r="E177" s="5" t="s">
        <v>89</v>
      </c>
      <c r="F177" s="5" t="s">
        <v>370</v>
      </c>
      <c r="G177" s="5" t="s">
        <v>159</v>
      </c>
      <c r="H177" s="5" t="s">
        <v>802</v>
      </c>
      <c r="I177" s="5" t="s">
        <v>825</v>
      </c>
      <c r="J177" s="9" t="s">
        <v>9</v>
      </c>
      <c r="K177" s="5"/>
    </row>
    <row r="178" spans="1:11" x14ac:dyDescent="0.25">
      <c r="A178" s="10">
        <v>45089</v>
      </c>
      <c r="B178" s="9" t="s">
        <v>371</v>
      </c>
      <c r="C178" s="9">
        <v>67</v>
      </c>
      <c r="D178" s="9" t="s">
        <v>1678</v>
      </c>
      <c r="E178" s="9" t="s">
        <v>372</v>
      </c>
      <c r="F178" s="9" t="s">
        <v>343</v>
      </c>
      <c r="G178" s="9" t="s">
        <v>32</v>
      </c>
      <c r="H178" s="5" t="s">
        <v>802</v>
      </c>
      <c r="I178" s="5" t="s">
        <v>825</v>
      </c>
      <c r="J178" s="9" t="s">
        <v>9</v>
      </c>
      <c r="K178" s="9"/>
    </row>
    <row r="179" spans="1:11" x14ac:dyDescent="0.25">
      <c r="A179" s="4">
        <v>45090</v>
      </c>
      <c r="B179" s="5" t="s">
        <v>373</v>
      </c>
      <c r="C179" s="5">
        <v>75</v>
      </c>
      <c r="D179" s="8" t="s">
        <v>163</v>
      </c>
      <c r="E179" s="5" t="s">
        <v>374</v>
      </c>
      <c r="F179" s="5" t="s">
        <v>359</v>
      </c>
      <c r="G179" s="5" t="s">
        <v>159</v>
      </c>
      <c r="H179" s="5" t="s">
        <v>802</v>
      </c>
      <c r="I179" s="5" t="s">
        <v>825</v>
      </c>
      <c r="J179" s="9" t="s">
        <v>9</v>
      </c>
      <c r="K179" s="5">
        <v>154711411</v>
      </c>
    </row>
    <row r="180" spans="1:11" x14ac:dyDescent="0.25">
      <c r="A180" s="10">
        <v>45090</v>
      </c>
      <c r="B180" s="9" t="s">
        <v>375</v>
      </c>
      <c r="C180" s="9">
        <v>47</v>
      </c>
      <c r="D180" s="9" t="s">
        <v>180</v>
      </c>
      <c r="E180" s="9" t="s">
        <v>376</v>
      </c>
      <c r="F180" s="9" t="s">
        <v>377</v>
      </c>
      <c r="G180" s="9"/>
      <c r="H180" s="9" t="s">
        <v>59</v>
      </c>
      <c r="I180" s="8" t="s">
        <v>378</v>
      </c>
      <c r="J180" s="5" t="s">
        <v>24</v>
      </c>
      <c r="K180" s="9">
        <v>3435612939</v>
      </c>
    </row>
    <row r="181" spans="1:11" x14ac:dyDescent="0.25">
      <c r="A181" s="4">
        <v>45090</v>
      </c>
      <c r="B181" s="5" t="s">
        <v>379</v>
      </c>
      <c r="C181" s="5">
        <v>73</v>
      </c>
      <c r="D181" s="5" t="s">
        <v>230</v>
      </c>
      <c r="E181" s="5" t="s">
        <v>380</v>
      </c>
      <c r="F181" s="5" t="s">
        <v>381</v>
      </c>
      <c r="G181" s="5" t="s">
        <v>159</v>
      </c>
      <c r="H181" s="5" t="s">
        <v>802</v>
      </c>
      <c r="I181" s="5" t="s">
        <v>825</v>
      </c>
      <c r="J181" s="9" t="s">
        <v>9</v>
      </c>
      <c r="K181" s="5">
        <v>155446668</v>
      </c>
    </row>
    <row r="182" spans="1:11" x14ac:dyDescent="0.25">
      <c r="A182" s="10">
        <v>45092</v>
      </c>
      <c r="B182" s="9" t="s">
        <v>382</v>
      </c>
      <c r="C182" s="9">
        <v>53</v>
      </c>
      <c r="D182" s="8" t="s">
        <v>8</v>
      </c>
      <c r="E182" s="9" t="s">
        <v>383</v>
      </c>
      <c r="F182" s="9" t="s">
        <v>384</v>
      </c>
      <c r="G182" s="9"/>
      <c r="H182" s="9" t="s">
        <v>59</v>
      </c>
      <c r="I182" s="8" t="s">
        <v>332</v>
      </c>
      <c r="J182" s="5" t="s">
        <v>24</v>
      </c>
      <c r="K182" s="9">
        <v>3434672320</v>
      </c>
    </row>
    <row r="183" spans="1:11" x14ac:dyDescent="0.25">
      <c r="A183" s="4">
        <v>45099</v>
      </c>
      <c r="B183" s="8" t="s">
        <v>385</v>
      </c>
      <c r="C183" s="5">
        <v>71</v>
      </c>
      <c r="D183" s="8" t="s">
        <v>120</v>
      </c>
      <c r="E183" s="5" t="s">
        <v>78</v>
      </c>
      <c r="F183" s="5" t="s">
        <v>343</v>
      </c>
      <c r="G183" s="5" t="s">
        <v>159</v>
      </c>
      <c r="H183" s="5" t="s">
        <v>802</v>
      </c>
      <c r="I183" s="5" t="s">
        <v>825</v>
      </c>
      <c r="J183" s="9" t="s">
        <v>9</v>
      </c>
      <c r="K183" s="5">
        <v>155116005</v>
      </c>
    </row>
    <row r="184" spans="1:11" x14ac:dyDescent="0.25">
      <c r="A184" s="10">
        <v>45099</v>
      </c>
      <c r="B184" s="9" t="s">
        <v>386</v>
      </c>
      <c r="C184" s="9">
        <v>24</v>
      </c>
      <c r="D184" s="8" t="s">
        <v>8</v>
      </c>
      <c r="E184" s="8" t="s">
        <v>112</v>
      </c>
      <c r="F184" s="9" t="s">
        <v>387</v>
      </c>
      <c r="G184" s="9"/>
      <c r="H184" s="9" t="s">
        <v>59</v>
      </c>
      <c r="I184" s="8" t="s">
        <v>216</v>
      </c>
      <c r="J184" s="5" t="s">
        <v>24</v>
      </c>
      <c r="K184" s="9">
        <v>3455402807</v>
      </c>
    </row>
    <row r="185" spans="1:11" x14ac:dyDescent="0.25">
      <c r="A185" s="4">
        <v>45099</v>
      </c>
      <c r="B185" s="5" t="s">
        <v>388</v>
      </c>
      <c r="C185" s="5">
        <v>47</v>
      </c>
      <c r="D185" s="8" t="s">
        <v>8</v>
      </c>
      <c r="E185" s="8" t="s">
        <v>112</v>
      </c>
      <c r="F185" s="5" t="s">
        <v>389</v>
      </c>
      <c r="G185" s="5"/>
      <c r="H185" s="5" t="s">
        <v>802</v>
      </c>
      <c r="I185" s="8" t="s">
        <v>390</v>
      </c>
      <c r="J185" s="5" t="s">
        <v>24</v>
      </c>
      <c r="K185" s="5"/>
    </row>
    <row r="186" spans="1:11" x14ac:dyDescent="0.25">
      <c r="A186" s="10">
        <v>45103</v>
      </c>
      <c r="B186" s="9" t="s">
        <v>391</v>
      </c>
      <c r="C186" s="9">
        <v>91</v>
      </c>
      <c r="D186" s="5" t="s">
        <v>18</v>
      </c>
      <c r="E186" s="9" t="s">
        <v>89</v>
      </c>
      <c r="F186" s="9" t="s">
        <v>39</v>
      </c>
      <c r="G186" s="9" t="s">
        <v>159</v>
      </c>
      <c r="H186" s="5" t="s">
        <v>802</v>
      </c>
      <c r="I186" s="5" t="s">
        <v>825</v>
      </c>
      <c r="J186" s="9" t="s">
        <v>9</v>
      </c>
      <c r="K186" s="9"/>
    </row>
    <row r="187" spans="1:11" x14ac:dyDescent="0.25">
      <c r="A187" s="4">
        <v>45103</v>
      </c>
      <c r="B187" s="5" t="s">
        <v>392</v>
      </c>
      <c r="C187" s="5">
        <v>87</v>
      </c>
      <c r="D187" s="5" t="s">
        <v>18</v>
      </c>
      <c r="E187" s="5" t="s">
        <v>89</v>
      </c>
      <c r="F187" s="5" t="s">
        <v>39</v>
      </c>
      <c r="G187" s="5" t="s">
        <v>159</v>
      </c>
      <c r="H187" s="5" t="s">
        <v>802</v>
      </c>
      <c r="I187" s="8" t="s">
        <v>378</v>
      </c>
      <c r="J187" s="9" t="s">
        <v>9</v>
      </c>
      <c r="K187" s="5"/>
    </row>
    <row r="188" spans="1:11" x14ac:dyDescent="0.25">
      <c r="A188" s="10">
        <v>45103</v>
      </c>
      <c r="B188" s="9" t="s">
        <v>393</v>
      </c>
      <c r="C188" s="9">
        <v>73</v>
      </c>
      <c r="D188" s="5" t="s">
        <v>18</v>
      </c>
      <c r="E188" s="9" t="s">
        <v>224</v>
      </c>
      <c r="F188" s="9" t="s">
        <v>394</v>
      </c>
      <c r="G188" s="9" t="s">
        <v>159</v>
      </c>
      <c r="H188" s="5" t="s">
        <v>802</v>
      </c>
      <c r="I188" s="5" t="s">
        <v>825</v>
      </c>
      <c r="J188" s="9" t="s">
        <v>9</v>
      </c>
      <c r="K188" s="9"/>
    </row>
    <row r="189" spans="1:11" x14ac:dyDescent="0.25">
      <c r="A189" s="4">
        <v>45106</v>
      </c>
      <c r="B189" s="5" t="s">
        <v>395</v>
      </c>
      <c r="C189" s="5">
        <v>48</v>
      </c>
      <c r="D189" s="9" t="s">
        <v>111</v>
      </c>
      <c r="E189" s="5" t="s">
        <v>91</v>
      </c>
      <c r="F189" s="5" t="s">
        <v>347</v>
      </c>
      <c r="G189" s="5" t="s">
        <v>159</v>
      </c>
      <c r="H189" s="5" t="s">
        <v>802</v>
      </c>
      <c r="I189" s="5" t="s">
        <v>825</v>
      </c>
      <c r="J189" s="9" t="s">
        <v>9</v>
      </c>
      <c r="K189" s="5"/>
    </row>
    <row r="190" spans="1:11" x14ac:dyDescent="0.25">
      <c r="A190" s="10">
        <v>45106</v>
      </c>
      <c r="B190" s="9" t="s">
        <v>396</v>
      </c>
      <c r="C190" s="9"/>
      <c r="D190" s="9" t="s">
        <v>153</v>
      </c>
      <c r="E190" s="9" t="s">
        <v>43</v>
      </c>
      <c r="F190" s="9" t="s">
        <v>397</v>
      </c>
      <c r="G190" s="9" t="s">
        <v>159</v>
      </c>
      <c r="H190" s="5" t="s">
        <v>802</v>
      </c>
      <c r="I190" s="5" t="s">
        <v>825</v>
      </c>
      <c r="J190" s="9" t="s">
        <v>9</v>
      </c>
      <c r="K190" s="9"/>
    </row>
    <row r="191" spans="1:11" x14ac:dyDescent="0.25">
      <c r="A191" s="4">
        <v>45106</v>
      </c>
      <c r="B191" s="5" t="s">
        <v>400</v>
      </c>
      <c r="C191" s="5">
        <v>16</v>
      </c>
      <c r="D191" s="8" t="s">
        <v>120</v>
      </c>
      <c r="E191" s="5" t="s">
        <v>398</v>
      </c>
      <c r="F191" s="5" t="s">
        <v>399</v>
      </c>
      <c r="G191" s="5"/>
      <c r="H191" s="5" t="s">
        <v>59</v>
      </c>
      <c r="I191" s="5" t="s">
        <v>825</v>
      </c>
      <c r="J191" s="5" t="s">
        <v>24</v>
      </c>
      <c r="K191" s="5">
        <v>154196446</v>
      </c>
    </row>
    <row r="192" spans="1:11" x14ac:dyDescent="0.25">
      <c r="A192" s="10">
        <v>45106</v>
      </c>
      <c r="B192" s="8" t="s">
        <v>401</v>
      </c>
      <c r="C192" s="9">
        <v>71</v>
      </c>
      <c r="D192" s="9" t="s">
        <v>153</v>
      </c>
      <c r="E192" s="9" t="s">
        <v>56</v>
      </c>
      <c r="F192" s="9" t="s">
        <v>70</v>
      </c>
      <c r="G192" s="9" t="s">
        <v>159</v>
      </c>
      <c r="H192" s="5" t="s">
        <v>802</v>
      </c>
      <c r="I192" s="5" t="s">
        <v>825</v>
      </c>
      <c r="J192" s="9" t="s">
        <v>9</v>
      </c>
      <c r="K192" s="9"/>
    </row>
    <row r="193" spans="1:11" x14ac:dyDescent="0.25">
      <c r="A193" s="4">
        <v>45106</v>
      </c>
      <c r="B193" s="5" t="s">
        <v>402</v>
      </c>
      <c r="C193" s="5">
        <v>77</v>
      </c>
      <c r="D193" s="9" t="s">
        <v>153</v>
      </c>
      <c r="E193" s="5" t="s">
        <v>43</v>
      </c>
      <c r="F193" s="5" t="s">
        <v>397</v>
      </c>
      <c r="G193" s="5" t="s">
        <v>159</v>
      </c>
      <c r="H193" s="5" t="s">
        <v>802</v>
      </c>
      <c r="I193" s="5" t="s">
        <v>825</v>
      </c>
      <c r="J193" s="9" t="s">
        <v>9</v>
      </c>
      <c r="K193" s="5"/>
    </row>
    <row r="194" spans="1:11" x14ac:dyDescent="0.25">
      <c r="A194" s="10">
        <v>45107</v>
      </c>
      <c r="B194" s="9" t="s">
        <v>403</v>
      </c>
      <c r="C194" s="9">
        <v>25</v>
      </c>
      <c r="D194" s="9" t="s">
        <v>1551</v>
      </c>
      <c r="E194" s="9" t="s">
        <v>154</v>
      </c>
      <c r="F194" s="9" t="s">
        <v>155</v>
      </c>
      <c r="G194" s="9"/>
      <c r="H194" s="5" t="s">
        <v>802</v>
      </c>
      <c r="I194" s="5" t="s">
        <v>825</v>
      </c>
      <c r="J194" s="5" t="s">
        <v>24</v>
      </c>
      <c r="K194" s="9"/>
    </row>
    <row r="195" spans="1:11" x14ac:dyDescent="0.25">
      <c r="A195" s="4">
        <v>45110</v>
      </c>
      <c r="B195" s="5" t="s">
        <v>404</v>
      </c>
      <c r="C195" s="5">
        <v>56</v>
      </c>
      <c r="D195" s="5" t="s">
        <v>266</v>
      </c>
      <c r="E195" s="5" t="s">
        <v>405</v>
      </c>
      <c r="F195" s="5" t="s">
        <v>406</v>
      </c>
      <c r="G195" s="5"/>
      <c r="H195" s="5" t="s">
        <v>802</v>
      </c>
      <c r="I195" s="5" t="s">
        <v>825</v>
      </c>
      <c r="J195" s="5" t="s">
        <v>24</v>
      </c>
      <c r="K195" s="5">
        <v>15568726</v>
      </c>
    </row>
    <row r="196" spans="1:11" x14ac:dyDescent="0.25">
      <c r="A196" s="10">
        <v>45111</v>
      </c>
      <c r="B196" s="9" t="s">
        <v>407</v>
      </c>
      <c r="C196" s="9">
        <v>63</v>
      </c>
      <c r="D196" s="9" t="s">
        <v>266</v>
      </c>
      <c r="E196" s="9" t="s">
        <v>43</v>
      </c>
      <c r="F196" s="9" t="s">
        <v>408</v>
      </c>
      <c r="G196" s="9"/>
      <c r="H196" s="5" t="s">
        <v>802</v>
      </c>
      <c r="I196" s="5" t="s">
        <v>825</v>
      </c>
      <c r="J196" s="5" t="s">
        <v>24</v>
      </c>
      <c r="K196" s="9">
        <v>3436221468</v>
      </c>
    </row>
    <row r="197" spans="1:11" x14ac:dyDescent="0.25">
      <c r="A197" s="4">
        <v>45111</v>
      </c>
      <c r="B197" s="5" t="s">
        <v>409</v>
      </c>
      <c r="C197" s="5">
        <v>38</v>
      </c>
      <c r="D197" s="8" t="s">
        <v>163</v>
      </c>
      <c r="E197" s="5" t="s">
        <v>410</v>
      </c>
      <c r="F197" s="5" t="s">
        <v>411</v>
      </c>
      <c r="G197" s="5"/>
      <c r="H197" s="5" t="s">
        <v>34</v>
      </c>
      <c r="I197" s="5" t="s">
        <v>825</v>
      </c>
      <c r="J197" s="5" t="s">
        <v>24</v>
      </c>
      <c r="K197" s="5">
        <v>155319069</v>
      </c>
    </row>
    <row r="198" spans="1:11" x14ac:dyDescent="0.25">
      <c r="A198" s="10">
        <v>45112</v>
      </c>
      <c r="B198" s="9" t="s">
        <v>412</v>
      </c>
      <c r="C198" s="9">
        <v>76</v>
      </c>
      <c r="D198" s="8" t="s">
        <v>163</v>
      </c>
      <c r="E198" s="9" t="s">
        <v>89</v>
      </c>
      <c r="F198" s="9" t="s">
        <v>413</v>
      </c>
      <c r="G198" s="9" t="s">
        <v>159</v>
      </c>
      <c r="H198" s="5" t="s">
        <v>802</v>
      </c>
      <c r="I198" s="5" t="s">
        <v>825</v>
      </c>
      <c r="J198" s="9" t="s">
        <v>9</v>
      </c>
      <c r="K198" s="9"/>
    </row>
    <row r="199" spans="1:11" x14ac:dyDescent="0.25">
      <c r="A199" s="4">
        <v>45112</v>
      </c>
      <c r="B199" s="5" t="s">
        <v>414</v>
      </c>
      <c r="C199" s="5">
        <v>23</v>
      </c>
      <c r="D199" s="8" t="s">
        <v>8</v>
      </c>
      <c r="E199" s="5" t="s">
        <v>154</v>
      </c>
      <c r="F199" s="5" t="s">
        <v>415</v>
      </c>
      <c r="G199" s="5" t="s">
        <v>159</v>
      </c>
      <c r="H199" s="5" t="s">
        <v>802</v>
      </c>
      <c r="I199" s="8" t="s">
        <v>231</v>
      </c>
      <c r="J199" s="9" t="s">
        <v>9</v>
      </c>
      <c r="K199" s="5"/>
    </row>
    <row r="200" spans="1:11" x14ac:dyDescent="0.25">
      <c r="A200" s="10">
        <v>45113</v>
      </c>
      <c r="B200" s="9" t="s">
        <v>416</v>
      </c>
      <c r="C200" s="9">
        <v>49</v>
      </c>
      <c r="D200" s="9" t="s">
        <v>1678</v>
      </c>
      <c r="E200" s="9" t="s">
        <v>78</v>
      </c>
      <c r="F200" s="9" t="s">
        <v>210</v>
      </c>
      <c r="G200" s="9"/>
      <c r="H200" s="9" t="s">
        <v>34</v>
      </c>
      <c r="I200" s="8" t="s">
        <v>417</v>
      </c>
      <c r="J200" s="5" t="s">
        <v>24</v>
      </c>
      <c r="K200" s="9">
        <v>3437417323</v>
      </c>
    </row>
    <row r="201" spans="1:11" x14ac:dyDescent="0.25">
      <c r="A201" s="4">
        <v>45114</v>
      </c>
      <c r="B201" s="5" t="s">
        <v>418</v>
      </c>
      <c r="C201" s="5">
        <v>69</v>
      </c>
      <c r="D201" s="5" t="s">
        <v>266</v>
      </c>
      <c r="E201" s="5" t="s">
        <v>419</v>
      </c>
      <c r="F201" s="5" t="s">
        <v>420</v>
      </c>
      <c r="G201" s="5" t="s">
        <v>159</v>
      </c>
      <c r="H201" s="5" t="s">
        <v>802</v>
      </c>
      <c r="I201" s="8" t="s">
        <v>421</v>
      </c>
      <c r="J201" s="9" t="s">
        <v>9</v>
      </c>
      <c r="K201" s="5"/>
    </row>
    <row r="202" spans="1:11" x14ac:dyDescent="0.25">
      <c r="A202" s="10">
        <v>45140</v>
      </c>
      <c r="B202" s="9" t="s">
        <v>409</v>
      </c>
      <c r="C202" s="9">
        <v>38</v>
      </c>
      <c r="D202" s="8" t="s">
        <v>163</v>
      </c>
      <c r="E202" s="9" t="s">
        <v>423</v>
      </c>
      <c r="F202" s="9" t="s">
        <v>424</v>
      </c>
      <c r="G202" s="9"/>
      <c r="H202" s="5" t="s">
        <v>802</v>
      </c>
      <c r="I202" s="5" t="s">
        <v>825</v>
      </c>
      <c r="J202" s="5" t="s">
        <v>24</v>
      </c>
      <c r="K202" s="9">
        <v>155699069</v>
      </c>
    </row>
    <row r="203" spans="1:11" x14ac:dyDescent="0.25">
      <c r="A203" s="4">
        <v>45141</v>
      </c>
      <c r="B203" s="5" t="s">
        <v>425</v>
      </c>
      <c r="C203" s="5">
        <v>42</v>
      </c>
      <c r="D203" s="9" t="s">
        <v>1678</v>
      </c>
      <c r="E203" s="5" t="s">
        <v>292</v>
      </c>
      <c r="F203" s="5" t="s">
        <v>66</v>
      </c>
      <c r="G203" s="5"/>
      <c r="H203" s="5" t="s">
        <v>802</v>
      </c>
      <c r="I203" s="5" t="s">
        <v>390</v>
      </c>
      <c r="J203" s="5" t="s">
        <v>24</v>
      </c>
      <c r="K203" s="5">
        <v>3425042727</v>
      </c>
    </row>
    <row r="204" spans="1:11" x14ac:dyDescent="0.25">
      <c r="A204" s="7">
        <v>45145</v>
      </c>
      <c r="B204" s="8" t="s">
        <v>428</v>
      </c>
      <c r="C204" s="8">
        <v>75</v>
      </c>
      <c r="D204" s="9" t="s">
        <v>727</v>
      </c>
      <c r="E204" s="8" t="s">
        <v>125</v>
      </c>
      <c r="F204" s="8" t="s">
        <v>429</v>
      </c>
      <c r="G204" s="8" t="s">
        <v>159</v>
      </c>
      <c r="H204" s="5" t="s">
        <v>802</v>
      </c>
      <c r="I204" s="5" t="s">
        <v>825</v>
      </c>
      <c r="J204" s="9" t="s">
        <v>9</v>
      </c>
      <c r="K204" s="9"/>
    </row>
    <row r="205" spans="1:11" x14ac:dyDescent="0.25">
      <c r="A205" s="7">
        <v>45145</v>
      </c>
      <c r="B205" s="8" t="s">
        <v>430</v>
      </c>
      <c r="C205" s="8">
        <v>71</v>
      </c>
      <c r="D205" s="9" t="s">
        <v>727</v>
      </c>
      <c r="E205" s="8" t="s">
        <v>224</v>
      </c>
      <c r="F205" s="8" t="s">
        <v>431</v>
      </c>
      <c r="G205" s="8" t="s">
        <v>159</v>
      </c>
      <c r="H205" s="5" t="s">
        <v>802</v>
      </c>
      <c r="I205" s="5" t="s">
        <v>825</v>
      </c>
      <c r="J205" s="9" t="s">
        <v>9</v>
      </c>
      <c r="K205" s="5"/>
    </row>
    <row r="206" spans="1:11" x14ac:dyDescent="0.25">
      <c r="A206" s="7">
        <v>45145</v>
      </c>
      <c r="B206" s="8" t="s">
        <v>432</v>
      </c>
      <c r="C206" s="8">
        <v>66</v>
      </c>
      <c r="D206" s="5" t="s">
        <v>18</v>
      </c>
      <c r="E206" s="8" t="s">
        <v>224</v>
      </c>
      <c r="F206" s="8" t="s">
        <v>431</v>
      </c>
      <c r="G206" s="8" t="s">
        <v>159</v>
      </c>
      <c r="H206" s="5" t="s">
        <v>802</v>
      </c>
      <c r="I206" s="5" t="s">
        <v>825</v>
      </c>
      <c r="J206" s="9" t="s">
        <v>9</v>
      </c>
      <c r="K206" s="9"/>
    </row>
    <row r="207" spans="1:11" x14ac:dyDescent="0.25">
      <c r="A207" s="4">
        <v>45148</v>
      </c>
      <c r="B207" s="5" t="s">
        <v>433</v>
      </c>
      <c r="C207" s="5">
        <v>51</v>
      </c>
      <c r="D207" s="8" t="s">
        <v>120</v>
      </c>
      <c r="E207" s="5" t="s">
        <v>154</v>
      </c>
      <c r="F207" s="5" t="s">
        <v>434</v>
      </c>
      <c r="G207" s="5"/>
      <c r="H207" s="5" t="s">
        <v>802</v>
      </c>
      <c r="I207" s="5" t="s">
        <v>825</v>
      </c>
      <c r="J207" s="5" t="s">
        <v>24</v>
      </c>
      <c r="K207" s="5">
        <v>3435301066</v>
      </c>
    </row>
    <row r="208" spans="1:11" x14ac:dyDescent="0.25">
      <c r="A208" s="10">
        <v>45149</v>
      </c>
      <c r="B208" s="9" t="s">
        <v>435</v>
      </c>
      <c r="C208" s="9">
        <v>59</v>
      </c>
      <c r="D208" s="5" t="s">
        <v>214</v>
      </c>
      <c r="E208" s="9" t="s">
        <v>436</v>
      </c>
      <c r="F208" s="9" t="s">
        <v>437</v>
      </c>
      <c r="G208" s="9"/>
      <c r="H208" s="5" t="s">
        <v>802</v>
      </c>
      <c r="I208" s="5" t="s">
        <v>825</v>
      </c>
      <c r="J208" s="5" t="s">
        <v>24</v>
      </c>
      <c r="K208" s="9">
        <v>3436201996</v>
      </c>
    </row>
    <row r="209" spans="1:11" x14ac:dyDescent="0.25">
      <c r="A209" s="4">
        <v>45154</v>
      </c>
      <c r="B209" s="5" t="s">
        <v>438</v>
      </c>
      <c r="C209" s="5">
        <v>25</v>
      </c>
      <c r="D209" s="5" t="s">
        <v>230</v>
      </c>
      <c r="E209" s="5" t="s">
        <v>154</v>
      </c>
      <c r="F209" s="5" t="s">
        <v>434</v>
      </c>
      <c r="G209" s="5"/>
      <c r="H209" s="5" t="s">
        <v>802</v>
      </c>
      <c r="I209" s="5" t="s">
        <v>825</v>
      </c>
      <c r="J209" s="5" t="s">
        <v>24</v>
      </c>
      <c r="K209" s="5"/>
    </row>
    <row r="210" spans="1:11" x14ac:dyDescent="0.25">
      <c r="A210" s="10">
        <v>45154</v>
      </c>
      <c r="B210" s="9" t="s">
        <v>439</v>
      </c>
      <c r="C210" s="9">
        <v>21</v>
      </c>
      <c r="D210" s="5" t="s">
        <v>230</v>
      </c>
      <c r="E210" s="9" t="s">
        <v>154</v>
      </c>
      <c r="F210" s="9" t="s">
        <v>434</v>
      </c>
      <c r="G210" s="9"/>
      <c r="H210" s="5" t="s">
        <v>802</v>
      </c>
      <c r="I210" s="5" t="s">
        <v>825</v>
      </c>
      <c r="J210" s="5" t="s">
        <v>24</v>
      </c>
      <c r="K210" s="9"/>
    </row>
    <row r="211" spans="1:11" x14ac:dyDescent="0.25">
      <c r="A211" s="4">
        <v>45155</v>
      </c>
      <c r="B211" s="5" t="s">
        <v>440</v>
      </c>
      <c r="C211" s="5">
        <v>23</v>
      </c>
      <c r="D211" s="8" t="s">
        <v>120</v>
      </c>
      <c r="E211" s="5" t="s">
        <v>154</v>
      </c>
      <c r="F211" s="5" t="s">
        <v>434</v>
      </c>
      <c r="G211" s="5"/>
      <c r="H211" s="5" t="s">
        <v>34</v>
      </c>
      <c r="I211" s="5" t="s">
        <v>441</v>
      </c>
      <c r="J211" s="5" t="s">
        <v>24</v>
      </c>
      <c r="K211" s="5">
        <v>3435178408</v>
      </c>
    </row>
    <row r="212" spans="1:11" x14ac:dyDescent="0.25">
      <c r="A212" s="7">
        <v>45155</v>
      </c>
      <c r="B212" s="8" t="s">
        <v>442</v>
      </c>
      <c r="C212" s="8">
        <v>61</v>
      </c>
      <c r="D212" s="5" t="s">
        <v>18</v>
      </c>
      <c r="E212" s="8" t="s">
        <v>125</v>
      </c>
      <c r="F212" s="8" t="s">
        <v>301</v>
      </c>
      <c r="G212" s="8" t="s">
        <v>32</v>
      </c>
      <c r="H212" s="5" t="s">
        <v>802</v>
      </c>
      <c r="I212" s="5" t="s">
        <v>825</v>
      </c>
      <c r="J212" s="9" t="s">
        <v>9</v>
      </c>
      <c r="K212" s="9"/>
    </row>
    <row r="213" spans="1:11" x14ac:dyDescent="0.25">
      <c r="A213" s="4">
        <v>45155</v>
      </c>
      <c r="B213" s="5" t="s">
        <v>443</v>
      </c>
      <c r="C213" s="5">
        <v>57</v>
      </c>
      <c r="D213" s="5" t="s">
        <v>18</v>
      </c>
      <c r="E213" s="5" t="s">
        <v>224</v>
      </c>
      <c r="F213" s="5" t="s">
        <v>431</v>
      </c>
      <c r="G213" s="5" t="s">
        <v>159</v>
      </c>
      <c r="H213" s="5" t="s">
        <v>802</v>
      </c>
      <c r="I213" s="5" t="s">
        <v>825</v>
      </c>
      <c r="J213" s="9" t="s">
        <v>9</v>
      </c>
      <c r="K213" s="5"/>
    </row>
    <row r="214" spans="1:11" x14ac:dyDescent="0.25">
      <c r="A214" s="7">
        <v>45156</v>
      </c>
      <c r="B214" s="8" t="s">
        <v>444</v>
      </c>
      <c r="C214" s="8">
        <v>66</v>
      </c>
      <c r="D214" s="5" t="s">
        <v>18</v>
      </c>
      <c r="E214" s="8" t="s">
        <v>91</v>
      </c>
      <c r="F214" s="8" t="s">
        <v>347</v>
      </c>
      <c r="G214" s="8" t="s">
        <v>159</v>
      </c>
      <c r="H214" s="5" t="s">
        <v>802</v>
      </c>
      <c r="I214" s="5" t="s">
        <v>825</v>
      </c>
      <c r="J214" s="9" t="s">
        <v>9</v>
      </c>
      <c r="K214" s="9"/>
    </row>
    <row r="215" spans="1:11" x14ac:dyDescent="0.25">
      <c r="A215" s="7">
        <v>45156</v>
      </c>
      <c r="B215" s="8" t="s">
        <v>445</v>
      </c>
      <c r="C215" s="8">
        <v>62</v>
      </c>
      <c r="D215" s="8" t="s">
        <v>8</v>
      </c>
      <c r="E215" s="8" t="s">
        <v>300</v>
      </c>
      <c r="F215" s="8" t="s">
        <v>301</v>
      </c>
      <c r="G215" s="8" t="s">
        <v>32</v>
      </c>
      <c r="H215" s="5" t="s">
        <v>802</v>
      </c>
      <c r="I215" s="5" t="s">
        <v>825</v>
      </c>
      <c r="J215" s="9" t="s">
        <v>9</v>
      </c>
      <c r="K215" s="5"/>
    </row>
    <row r="216" spans="1:11" x14ac:dyDescent="0.25">
      <c r="A216" s="7">
        <v>45156</v>
      </c>
      <c r="B216" s="8" t="s">
        <v>446</v>
      </c>
      <c r="C216" s="8">
        <v>59</v>
      </c>
      <c r="D216" s="5" t="s">
        <v>18</v>
      </c>
      <c r="E216" s="8" t="s">
        <v>224</v>
      </c>
      <c r="F216" s="8" t="s">
        <v>98</v>
      </c>
      <c r="G216" s="8" t="s">
        <v>159</v>
      </c>
      <c r="H216" s="5" t="s">
        <v>802</v>
      </c>
      <c r="I216" s="5" t="s">
        <v>825</v>
      </c>
      <c r="J216" s="9" t="s">
        <v>9</v>
      </c>
      <c r="K216" s="9"/>
    </row>
    <row r="217" spans="1:11" x14ac:dyDescent="0.25">
      <c r="A217" s="7">
        <v>45157</v>
      </c>
      <c r="B217" s="8" t="s">
        <v>447</v>
      </c>
      <c r="C217" s="8">
        <v>63</v>
      </c>
      <c r="D217" s="8" t="s">
        <v>8</v>
      </c>
      <c r="E217" s="8" t="s">
        <v>125</v>
      </c>
      <c r="F217" s="8" t="s">
        <v>448</v>
      </c>
      <c r="G217" s="8" t="s">
        <v>32</v>
      </c>
      <c r="H217" s="5" t="s">
        <v>802</v>
      </c>
      <c r="I217" s="5" t="s">
        <v>825</v>
      </c>
      <c r="J217" s="9" t="s">
        <v>9</v>
      </c>
      <c r="K217" s="8"/>
    </row>
    <row r="218" spans="1:11" x14ac:dyDescent="0.25">
      <c r="A218" s="10">
        <v>45157</v>
      </c>
      <c r="B218" s="9" t="s">
        <v>449</v>
      </c>
      <c r="C218" s="9">
        <v>56</v>
      </c>
      <c r="D218" s="8" t="s">
        <v>8</v>
      </c>
      <c r="E218" s="9" t="s">
        <v>300</v>
      </c>
      <c r="F218" s="9" t="s">
        <v>450</v>
      </c>
      <c r="G218" s="9" t="s">
        <v>32</v>
      </c>
      <c r="H218" s="5" t="s">
        <v>802</v>
      </c>
      <c r="I218" s="5" t="s">
        <v>825</v>
      </c>
      <c r="J218" s="9" t="s">
        <v>9</v>
      </c>
      <c r="K218" s="9">
        <v>3435000272</v>
      </c>
    </row>
    <row r="219" spans="1:11" x14ac:dyDescent="0.25">
      <c r="A219" s="4">
        <v>45160</v>
      </c>
      <c r="B219" s="5" t="s">
        <v>451</v>
      </c>
      <c r="C219" s="5">
        <v>67</v>
      </c>
      <c r="D219" s="5" t="s">
        <v>18</v>
      </c>
      <c r="E219" s="5" t="s">
        <v>452</v>
      </c>
      <c r="F219" s="5" t="s">
        <v>39</v>
      </c>
      <c r="G219" s="5" t="s">
        <v>159</v>
      </c>
      <c r="H219" s="5" t="s">
        <v>802</v>
      </c>
      <c r="I219" s="5" t="s">
        <v>825</v>
      </c>
      <c r="J219" s="9" t="s">
        <v>9</v>
      </c>
      <c r="K219" s="5"/>
    </row>
    <row r="220" spans="1:11" x14ac:dyDescent="0.25">
      <c r="A220" s="10">
        <v>45160</v>
      </c>
      <c r="B220" s="9" t="s">
        <v>453</v>
      </c>
      <c r="C220" s="9">
        <v>82</v>
      </c>
      <c r="D220" s="5" t="s">
        <v>18</v>
      </c>
      <c r="E220" s="9" t="s">
        <v>125</v>
      </c>
      <c r="F220" s="9" t="s">
        <v>39</v>
      </c>
      <c r="G220" s="9" t="s">
        <v>159</v>
      </c>
      <c r="H220" s="5" t="s">
        <v>802</v>
      </c>
      <c r="I220" s="5" t="s">
        <v>825</v>
      </c>
      <c r="J220" s="9" t="s">
        <v>9</v>
      </c>
      <c r="K220" s="9"/>
    </row>
    <row r="221" spans="1:11" x14ac:dyDescent="0.25">
      <c r="A221" s="7">
        <v>45162</v>
      </c>
      <c r="B221" s="8" t="s">
        <v>454</v>
      </c>
      <c r="C221" s="8">
        <v>70</v>
      </c>
      <c r="D221" s="8" t="s">
        <v>120</v>
      </c>
      <c r="E221" s="8" t="s">
        <v>78</v>
      </c>
      <c r="F221" s="8" t="s">
        <v>63</v>
      </c>
      <c r="G221" s="8" t="s">
        <v>32</v>
      </c>
      <c r="H221" s="5" t="s">
        <v>802</v>
      </c>
      <c r="I221" s="5" t="s">
        <v>825</v>
      </c>
      <c r="J221" s="9" t="s">
        <v>9</v>
      </c>
      <c r="K221" s="5"/>
    </row>
    <row r="222" spans="1:11" x14ac:dyDescent="0.25">
      <c r="A222" s="10">
        <v>45162</v>
      </c>
      <c r="B222" s="9" t="s">
        <v>353</v>
      </c>
      <c r="C222" s="9">
        <v>68</v>
      </c>
      <c r="D222" s="9" t="s">
        <v>17</v>
      </c>
      <c r="E222" s="9" t="s">
        <v>78</v>
      </c>
      <c r="F222" s="9" t="s">
        <v>63</v>
      </c>
      <c r="G222" s="9" t="s">
        <v>32</v>
      </c>
      <c r="H222" s="5" t="s">
        <v>802</v>
      </c>
      <c r="I222" s="5" t="s">
        <v>825</v>
      </c>
      <c r="J222" s="9" t="s">
        <v>9</v>
      </c>
      <c r="K222" s="9"/>
    </row>
    <row r="223" spans="1:11" x14ac:dyDescent="0.25">
      <c r="A223" s="7">
        <v>45166</v>
      </c>
      <c r="B223" s="8" t="s">
        <v>455</v>
      </c>
      <c r="C223" s="8">
        <v>89</v>
      </c>
      <c r="D223" s="8" t="s">
        <v>163</v>
      </c>
      <c r="E223" s="8" t="s">
        <v>125</v>
      </c>
      <c r="F223" s="8" t="s">
        <v>39</v>
      </c>
      <c r="G223" s="8" t="s">
        <v>159</v>
      </c>
      <c r="H223" s="5" t="s">
        <v>802</v>
      </c>
      <c r="I223" s="5" t="s">
        <v>825</v>
      </c>
      <c r="J223" s="9" t="s">
        <v>9</v>
      </c>
      <c r="K223" s="5"/>
    </row>
    <row r="224" spans="1:11" x14ac:dyDescent="0.25">
      <c r="A224" s="10">
        <v>45166</v>
      </c>
      <c r="B224" s="9" t="s">
        <v>456</v>
      </c>
      <c r="C224" s="9">
        <v>73</v>
      </c>
      <c r="D224" s="5" t="s">
        <v>665</v>
      </c>
      <c r="E224" s="9" t="s">
        <v>145</v>
      </c>
      <c r="F224" s="9" t="s">
        <v>457</v>
      </c>
      <c r="G224" s="9" t="s">
        <v>159</v>
      </c>
      <c r="H224" s="5" t="s">
        <v>802</v>
      </c>
      <c r="I224" s="5" t="s">
        <v>825</v>
      </c>
      <c r="J224" s="9" t="s">
        <v>9</v>
      </c>
      <c r="K224" s="9"/>
    </row>
    <row r="225" spans="1:11" x14ac:dyDescent="0.25">
      <c r="A225" s="4">
        <v>45166</v>
      </c>
      <c r="B225" s="5" t="s">
        <v>458</v>
      </c>
      <c r="C225" s="5">
        <v>68</v>
      </c>
      <c r="D225" s="8" t="s">
        <v>163</v>
      </c>
      <c r="E225" s="5" t="s">
        <v>56</v>
      </c>
      <c r="F225" s="5" t="s">
        <v>459</v>
      </c>
      <c r="G225" s="5" t="s">
        <v>32</v>
      </c>
      <c r="H225" s="5" t="s">
        <v>802</v>
      </c>
      <c r="I225" s="5" t="s">
        <v>825</v>
      </c>
      <c r="J225" s="9" t="s">
        <v>9</v>
      </c>
      <c r="K225" s="5"/>
    </row>
    <row r="226" spans="1:11" x14ac:dyDescent="0.25">
      <c r="A226" s="10">
        <v>45166</v>
      </c>
      <c r="B226" s="9" t="s">
        <v>460</v>
      </c>
      <c r="C226" s="9">
        <v>71</v>
      </c>
      <c r="D226" s="8" t="s">
        <v>163</v>
      </c>
      <c r="E226" s="9" t="s">
        <v>300</v>
      </c>
      <c r="F226" s="9" t="s">
        <v>429</v>
      </c>
      <c r="G226" s="9" t="s">
        <v>159</v>
      </c>
      <c r="H226" s="5" t="s">
        <v>802</v>
      </c>
      <c r="I226" s="5" t="s">
        <v>825</v>
      </c>
      <c r="J226" s="9" t="s">
        <v>9</v>
      </c>
      <c r="K226" s="9"/>
    </row>
    <row r="227" spans="1:11" x14ac:dyDescent="0.25">
      <c r="A227" s="4">
        <v>45166</v>
      </c>
      <c r="B227" s="5" t="s">
        <v>461</v>
      </c>
      <c r="C227" s="5">
        <v>60</v>
      </c>
      <c r="D227" s="9" t="s">
        <v>17</v>
      </c>
      <c r="E227" s="5" t="s">
        <v>56</v>
      </c>
      <c r="F227" s="5" t="s">
        <v>459</v>
      </c>
      <c r="G227" s="5" t="s">
        <v>32</v>
      </c>
      <c r="H227" s="5" t="s">
        <v>802</v>
      </c>
      <c r="I227" s="5" t="s">
        <v>825</v>
      </c>
      <c r="J227" s="9" t="s">
        <v>9</v>
      </c>
      <c r="K227" s="5"/>
    </row>
    <row r="228" spans="1:11" x14ac:dyDescent="0.25">
      <c r="A228" s="7">
        <v>45167</v>
      </c>
      <c r="B228" s="8" t="s">
        <v>462</v>
      </c>
      <c r="C228" s="8">
        <v>75</v>
      </c>
      <c r="D228" s="5" t="s">
        <v>18</v>
      </c>
      <c r="E228" s="8" t="s">
        <v>125</v>
      </c>
      <c r="F228" s="8" t="s">
        <v>429</v>
      </c>
      <c r="G228" s="8" t="s">
        <v>159</v>
      </c>
      <c r="H228" s="5" t="s">
        <v>802</v>
      </c>
      <c r="I228" s="5" t="s">
        <v>825</v>
      </c>
      <c r="J228" s="9" t="s">
        <v>9</v>
      </c>
      <c r="K228" s="9"/>
    </row>
    <row r="229" spans="1:11" x14ac:dyDescent="0.25">
      <c r="A229" s="7">
        <v>45169</v>
      </c>
      <c r="B229" s="8" t="s">
        <v>463</v>
      </c>
      <c r="C229" s="8">
        <v>63</v>
      </c>
      <c r="D229" s="9" t="s">
        <v>17</v>
      </c>
      <c r="E229" s="8" t="s">
        <v>56</v>
      </c>
      <c r="F229" s="8" t="s">
        <v>63</v>
      </c>
      <c r="G229" s="8" t="s">
        <v>32</v>
      </c>
      <c r="H229" s="5" t="s">
        <v>802</v>
      </c>
      <c r="I229" s="5" t="s">
        <v>825</v>
      </c>
      <c r="J229" s="9" t="s">
        <v>9</v>
      </c>
      <c r="K229" s="5"/>
    </row>
    <row r="230" spans="1:11" x14ac:dyDescent="0.25">
      <c r="A230" s="10">
        <v>45169</v>
      </c>
      <c r="B230" s="9" t="s">
        <v>464</v>
      </c>
      <c r="C230" s="9">
        <v>75</v>
      </c>
      <c r="D230" s="8" t="s">
        <v>8</v>
      </c>
      <c r="E230" s="9" t="s">
        <v>465</v>
      </c>
      <c r="F230" s="9" t="s">
        <v>466</v>
      </c>
      <c r="G230" s="9" t="s">
        <v>32</v>
      </c>
      <c r="H230" s="5" t="s">
        <v>802</v>
      </c>
      <c r="I230" s="5" t="s">
        <v>825</v>
      </c>
      <c r="J230" s="9" t="s">
        <v>9</v>
      </c>
      <c r="K230" s="9"/>
    </row>
    <row r="231" spans="1:11" x14ac:dyDescent="0.25">
      <c r="A231" s="4">
        <v>45169</v>
      </c>
      <c r="B231" s="5" t="s">
        <v>401</v>
      </c>
      <c r="C231" s="5">
        <v>66</v>
      </c>
      <c r="D231" s="9" t="s">
        <v>153</v>
      </c>
      <c r="E231" s="5" t="s">
        <v>56</v>
      </c>
      <c r="F231" s="5" t="s">
        <v>488</v>
      </c>
      <c r="G231" s="5" t="s">
        <v>32</v>
      </c>
      <c r="H231" s="5" t="s">
        <v>802</v>
      </c>
      <c r="I231" s="5" t="s">
        <v>825</v>
      </c>
      <c r="J231" s="9" t="s">
        <v>9</v>
      </c>
      <c r="K231" s="5"/>
    </row>
    <row r="232" spans="1:11" x14ac:dyDescent="0.25">
      <c r="A232" s="10">
        <v>45170</v>
      </c>
      <c r="B232" s="9" t="s">
        <v>486</v>
      </c>
      <c r="C232" s="9">
        <v>72</v>
      </c>
      <c r="D232" s="8" t="s">
        <v>8</v>
      </c>
      <c r="E232" s="9" t="s">
        <v>56</v>
      </c>
      <c r="F232" s="8" t="s">
        <v>487</v>
      </c>
      <c r="G232" s="9" t="s">
        <v>33</v>
      </c>
      <c r="H232" s="5" t="s">
        <v>802</v>
      </c>
      <c r="I232" s="5" t="s">
        <v>825</v>
      </c>
      <c r="J232" s="9" t="s">
        <v>9</v>
      </c>
      <c r="K232" s="9"/>
    </row>
    <row r="233" spans="1:11" x14ac:dyDescent="0.25">
      <c r="A233" s="4">
        <v>45175</v>
      </c>
      <c r="B233" s="5" t="s">
        <v>467</v>
      </c>
      <c r="C233" s="5">
        <v>47</v>
      </c>
      <c r="D233" s="5" t="s">
        <v>266</v>
      </c>
      <c r="E233" s="5"/>
      <c r="F233" s="8" t="s">
        <v>468</v>
      </c>
      <c r="G233" s="5"/>
      <c r="H233" s="5" t="s">
        <v>802</v>
      </c>
      <c r="I233" s="5" t="s">
        <v>825</v>
      </c>
      <c r="J233" s="5" t="s">
        <v>24</v>
      </c>
      <c r="K233" s="5"/>
    </row>
    <row r="234" spans="1:11" x14ac:dyDescent="0.25">
      <c r="A234" s="10">
        <v>45175</v>
      </c>
      <c r="B234" s="9" t="s">
        <v>469</v>
      </c>
      <c r="C234" s="9">
        <v>69</v>
      </c>
      <c r="D234" s="9" t="s">
        <v>266</v>
      </c>
      <c r="E234" s="9" t="s">
        <v>465</v>
      </c>
      <c r="F234" s="8" t="s">
        <v>470</v>
      </c>
      <c r="G234" s="9" t="s">
        <v>32</v>
      </c>
      <c r="H234" s="5" t="s">
        <v>802</v>
      </c>
      <c r="I234" s="5" t="s">
        <v>825</v>
      </c>
      <c r="J234" s="9" t="s">
        <v>9</v>
      </c>
      <c r="K234" s="9"/>
    </row>
    <row r="235" spans="1:11" x14ac:dyDescent="0.25">
      <c r="A235" s="4">
        <v>45176</v>
      </c>
      <c r="B235" s="5" t="s">
        <v>472</v>
      </c>
      <c r="C235" s="5">
        <v>73</v>
      </c>
      <c r="D235" s="5" t="s">
        <v>266</v>
      </c>
      <c r="E235" s="5" t="s">
        <v>410</v>
      </c>
      <c r="F235" s="8" t="s">
        <v>473</v>
      </c>
      <c r="G235" s="5" t="s">
        <v>33</v>
      </c>
      <c r="H235" s="5" t="s">
        <v>802</v>
      </c>
      <c r="I235" s="5" t="s">
        <v>825</v>
      </c>
      <c r="J235" s="9" t="s">
        <v>9</v>
      </c>
      <c r="K235" s="5"/>
    </row>
    <row r="236" spans="1:11" x14ac:dyDescent="0.25">
      <c r="A236" s="10">
        <v>45176</v>
      </c>
      <c r="B236" s="9" t="s">
        <v>471</v>
      </c>
      <c r="C236" s="9">
        <v>44</v>
      </c>
      <c r="D236" s="9" t="s">
        <v>17</v>
      </c>
      <c r="E236" s="8" t="s">
        <v>410</v>
      </c>
      <c r="F236" s="8" t="s">
        <v>66</v>
      </c>
      <c r="G236" s="9"/>
      <c r="H236" s="5" t="s">
        <v>802</v>
      </c>
      <c r="I236" s="5" t="s">
        <v>825</v>
      </c>
      <c r="J236" s="5" t="s">
        <v>24</v>
      </c>
      <c r="K236" s="9"/>
    </row>
    <row r="237" spans="1:11" x14ac:dyDescent="0.25">
      <c r="A237" s="4">
        <v>45176</v>
      </c>
      <c r="B237" s="5" t="s">
        <v>489</v>
      </c>
      <c r="C237" s="5">
        <v>47</v>
      </c>
      <c r="D237" s="9" t="s">
        <v>17</v>
      </c>
      <c r="E237" s="5" t="s">
        <v>410</v>
      </c>
      <c r="F237" s="8" t="s">
        <v>63</v>
      </c>
      <c r="G237" s="5"/>
      <c r="H237" s="5" t="s">
        <v>802</v>
      </c>
      <c r="I237" s="5" t="s">
        <v>825</v>
      </c>
      <c r="J237" s="5" t="s">
        <v>24</v>
      </c>
      <c r="K237" s="5"/>
    </row>
    <row r="238" spans="1:11" x14ac:dyDescent="0.25">
      <c r="A238" s="7">
        <v>45177</v>
      </c>
      <c r="B238" s="8" t="s">
        <v>474</v>
      </c>
      <c r="C238" s="8">
        <v>64</v>
      </c>
      <c r="D238" s="8" t="s">
        <v>246</v>
      </c>
      <c r="E238" s="8" t="s">
        <v>125</v>
      </c>
      <c r="F238" s="8" t="s">
        <v>39</v>
      </c>
      <c r="G238" s="8"/>
      <c r="H238" s="8" t="s">
        <v>95</v>
      </c>
      <c r="I238" s="5" t="s">
        <v>825</v>
      </c>
      <c r="J238" s="5" t="s">
        <v>24</v>
      </c>
      <c r="K238" s="9"/>
    </row>
    <row r="239" spans="1:11" x14ac:dyDescent="0.25">
      <c r="A239" s="4">
        <v>45180</v>
      </c>
      <c r="B239" s="5" t="s">
        <v>475</v>
      </c>
      <c r="C239" s="5">
        <v>18</v>
      </c>
      <c r="D239" s="8" t="s">
        <v>246</v>
      </c>
      <c r="E239" s="5" t="s">
        <v>476</v>
      </c>
      <c r="F239" s="5" t="s">
        <v>477</v>
      </c>
      <c r="G239" s="5"/>
      <c r="H239" s="5" t="s">
        <v>802</v>
      </c>
      <c r="I239" s="5" t="s">
        <v>825</v>
      </c>
      <c r="J239" s="5" t="s">
        <v>24</v>
      </c>
      <c r="K239" s="5"/>
    </row>
    <row r="240" spans="1:11" x14ac:dyDescent="0.25">
      <c r="A240" s="10">
        <v>45180</v>
      </c>
      <c r="B240" s="9" t="s">
        <v>478</v>
      </c>
      <c r="C240" s="9">
        <v>22</v>
      </c>
      <c r="D240" s="8" t="s">
        <v>246</v>
      </c>
      <c r="E240" s="9" t="s">
        <v>476</v>
      </c>
      <c r="F240" s="9" t="s">
        <v>479</v>
      </c>
      <c r="G240" s="9"/>
      <c r="H240" s="5" t="s">
        <v>802</v>
      </c>
      <c r="I240" s="5" t="s">
        <v>825</v>
      </c>
      <c r="J240" s="5" t="s">
        <v>24</v>
      </c>
      <c r="K240" s="9"/>
    </row>
    <row r="241" spans="1:11" x14ac:dyDescent="0.25">
      <c r="A241" s="4">
        <v>45180</v>
      </c>
      <c r="B241" s="5" t="s">
        <v>480</v>
      </c>
      <c r="C241" s="5">
        <v>74</v>
      </c>
      <c r="D241" s="5" t="s">
        <v>214</v>
      </c>
      <c r="E241" s="5" t="s">
        <v>481</v>
      </c>
      <c r="F241" s="5" t="s">
        <v>482</v>
      </c>
      <c r="G241" s="5" t="s">
        <v>33</v>
      </c>
      <c r="H241" s="5" t="s">
        <v>802</v>
      </c>
      <c r="I241" s="5" t="s">
        <v>825</v>
      </c>
      <c r="J241" s="9" t="s">
        <v>9</v>
      </c>
      <c r="K241" s="5"/>
    </row>
    <row r="242" spans="1:11" x14ac:dyDescent="0.25">
      <c r="A242" s="10">
        <v>45180</v>
      </c>
      <c r="B242" s="9" t="s">
        <v>483</v>
      </c>
      <c r="C242" s="9">
        <v>68</v>
      </c>
      <c r="D242" s="9" t="s">
        <v>153</v>
      </c>
      <c r="E242" s="9" t="s">
        <v>484</v>
      </c>
      <c r="F242" s="9" t="s">
        <v>485</v>
      </c>
      <c r="G242" s="9" t="s">
        <v>33</v>
      </c>
      <c r="H242" s="5" t="s">
        <v>802</v>
      </c>
      <c r="I242" s="5" t="s">
        <v>825</v>
      </c>
      <c r="J242" s="9" t="s">
        <v>9</v>
      </c>
      <c r="K242" s="9"/>
    </row>
    <row r="243" spans="1:11" x14ac:dyDescent="0.25">
      <c r="A243" s="4">
        <v>45180</v>
      </c>
      <c r="B243" s="5" t="s">
        <v>490</v>
      </c>
      <c r="C243" s="5">
        <v>25</v>
      </c>
      <c r="D243" s="9" t="s">
        <v>1678</v>
      </c>
      <c r="E243" s="8" t="s">
        <v>154</v>
      </c>
      <c r="F243" s="5" t="s">
        <v>434</v>
      </c>
      <c r="G243" s="5"/>
      <c r="H243" s="5" t="s">
        <v>34</v>
      </c>
      <c r="I243" s="8" t="s">
        <v>417</v>
      </c>
      <c r="J243" s="5" t="s">
        <v>24</v>
      </c>
      <c r="K243" s="5"/>
    </row>
    <row r="244" spans="1:11" x14ac:dyDescent="0.25">
      <c r="A244" s="10">
        <v>45181</v>
      </c>
      <c r="B244" s="9" t="s">
        <v>491</v>
      </c>
      <c r="C244" s="9">
        <v>60</v>
      </c>
      <c r="D244" s="9" t="s">
        <v>111</v>
      </c>
      <c r="E244" s="9" t="s">
        <v>492</v>
      </c>
      <c r="F244" s="9" t="s">
        <v>485</v>
      </c>
      <c r="G244" s="9"/>
      <c r="H244" s="5" t="s">
        <v>802</v>
      </c>
      <c r="I244" s="5" t="s">
        <v>825</v>
      </c>
      <c r="J244" s="5" t="s">
        <v>24</v>
      </c>
      <c r="K244" s="9"/>
    </row>
    <row r="245" spans="1:11" x14ac:dyDescent="0.25">
      <c r="A245" s="4">
        <v>45181</v>
      </c>
      <c r="B245" s="5" t="s">
        <v>493</v>
      </c>
      <c r="C245" s="5">
        <v>24</v>
      </c>
      <c r="D245" s="8" t="s">
        <v>246</v>
      </c>
      <c r="E245" s="5" t="s">
        <v>91</v>
      </c>
      <c r="F245" s="5" t="s">
        <v>347</v>
      </c>
      <c r="G245" s="5"/>
      <c r="H245" s="5" t="s">
        <v>802</v>
      </c>
      <c r="I245" s="5" t="s">
        <v>825</v>
      </c>
      <c r="J245" s="5" t="s">
        <v>24</v>
      </c>
      <c r="K245" s="5"/>
    </row>
    <row r="246" spans="1:11" x14ac:dyDescent="0.25">
      <c r="A246" s="10">
        <v>45181</v>
      </c>
      <c r="B246" s="9" t="s">
        <v>494</v>
      </c>
      <c r="C246" s="9">
        <v>74</v>
      </c>
      <c r="D246" s="9" t="s">
        <v>266</v>
      </c>
      <c r="E246" s="9" t="s">
        <v>145</v>
      </c>
      <c r="F246" s="9" t="s">
        <v>98</v>
      </c>
      <c r="G246" s="9" t="s">
        <v>159</v>
      </c>
      <c r="H246" s="5" t="s">
        <v>802</v>
      </c>
      <c r="I246" s="5" t="s">
        <v>825</v>
      </c>
      <c r="J246" s="9" t="s">
        <v>9</v>
      </c>
      <c r="K246" s="9"/>
    </row>
    <row r="247" spans="1:11" x14ac:dyDescent="0.25">
      <c r="A247" s="4">
        <v>45182</v>
      </c>
      <c r="B247" s="5" t="s">
        <v>495</v>
      </c>
      <c r="C247" s="5">
        <v>24</v>
      </c>
      <c r="D247" s="5" t="s">
        <v>230</v>
      </c>
      <c r="E247" s="8" t="s">
        <v>154</v>
      </c>
      <c r="F247" s="5" t="s">
        <v>434</v>
      </c>
      <c r="G247" s="5"/>
      <c r="H247" s="5" t="s">
        <v>34</v>
      </c>
      <c r="I247" s="5" t="s">
        <v>825</v>
      </c>
      <c r="J247" s="5" t="s">
        <v>24</v>
      </c>
      <c r="K247" s="5"/>
    </row>
    <row r="248" spans="1:11" x14ac:dyDescent="0.25">
      <c r="A248" s="10">
        <v>45182</v>
      </c>
      <c r="B248" s="9" t="s">
        <v>496</v>
      </c>
      <c r="C248" s="9">
        <v>27</v>
      </c>
      <c r="D248" s="5" t="s">
        <v>230</v>
      </c>
      <c r="E248" s="8" t="s">
        <v>154</v>
      </c>
      <c r="F248" s="9" t="s">
        <v>434</v>
      </c>
      <c r="G248" s="9"/>
      <c r="H248" s="9" t="s">
        <v>34</v>
      </c>
      <c r="I248" s="8" t="s">
        <v>497</v>
      </c>
      <c r="J248" s="5" t="s">
        <v>24</v>
      </c>
      <c r="K248" s="9"/>
    </row>
    <row r="249" spans="1:11" x14ac:dyDescent="0.25">
      <c r="A249" s="4">
        <v>45182</v>
      </c>
      <c r="B249" s="5" t="s">
        <v>498</v>
      </c>
      <c r="C249" s="5">
        <v>27</v>
      </c>
      <c r="D249" s="5" t="s">
        <v>230</v>
      </c>
      <c r="E249" s="8" t="s">
        <v>154</v>
      </c>
      <c r="F249" s="5" t="s">
        <v>434</v>
      </c>
      <c r="G249" s="5"/>
      <c r="H249" s="5" t="s">
        <v>34</v>
      </c>
      <c r="I249" s="5" t="s">
        <v>825</v>
      </c>
      <c r="J249" s="5" t="s">
        <v>24</v>
      </c>
      <c r="K249" s="5"/>
    </row>
    <row r="250" spans="1:11" x14ac:dyDescent="0.25">
      <c r="A250" s="10">
        <v>45182</v>
      </c>
      <c r="B250" s="9" t="s">
        <v>500</v>
      </c>
      <c r="C250" s="9">
        <v>68</v>
      </c>
      <c r="D250" s="5" t="s">
        <v>1679</v>
      </c>
      <c r="E250" s="9" t="s">
        <v>492</v>
      </c>
      <c r="F250" s="9" t="s">
        <v>485</v>
      </c>
      <c r="G250" s="9" t="s">
        <v>159</v>
      </c>
      <c r="H250" s="5" t="s">
        <v>802</v>
      </c>
      <c r="I250" s="5" t="s">
        <v>825</v>
      </c>
      <c r="J250" s="9" t="s">
        <v>9</v>
      </c>
      <c r="K250" s="9"/>
    </row>
    <row r="251" spans="1:11" x14ac:dyDescent="0.25">
      <c r="A251" s="4">
        <v>45182</v>
      </c>
      <c r="B251" s="5" t="s">
        <v>501</v>
      </c>
      <c r="C251" s="5">
        <v>31</v>
      </c>
      <c r="D251" s="8" t="s">
        <v>163</v>
      </c>
      <c r="E251" s="5" t="s">
        <v>224</v>
      </c>
      <c r="F251" s="5" t="s">
        <v>98</v>
      </c>
      <c r="G251" s="5"/>
      <c r="H251" s="5" t="s">
        <v>802</v>
      </c>
      <c r="I251" s="5" t="s">
        <v>825</v>
      </c>
      <c r="J251" s="5" t="s">
        <v>24</v>
      </c>
      <c r="K251" s="5"/>
    </row>
    <row r="252" spans="1:11" x14ac:dyDescent="0.25">
      <c r="A252" s="10">
        <v>45183</v>
      </c>
      <c r="B252" s="9" t="s">
        <v>502</v>
      </c>
      <c r="C252" s="9">
        <v>48</v>
      </c>
      <c r="D252" s="8" t="s">
        <v>120</v>
      </c>
      <c r="E252" s="9" t="s">
        <v>503</v>
      </c>
      <c r="F252" s="9" t="s">
        <v>504</v>
      </c>
      <c r="G252" s="9"/>
      <c r="H252" s="5" t="s">
        <v>802</v>
      </c>
      <c r="I252" s="8" t="s">
        <v>505</v>
      </c>
      <c r="J252" s="5" t="s">
        <v>24</v>
      </c>
      <c r="K252" s="9"/>
    </row>
    <row r="253" spans="1:11" x14ac:dyDescent="0.25">
      <c r="A253" s="4">
        <v>45183</v>
      </c>
      <c r="B253" s="5" t="s">
        <v>506</v>
      </c>
      <c r="C253" s="5">
        <v>65</v>
      </c>
      <c r="D253" s="9" t="s">
        <v>17</v>
      </c>
      <c r="E253" s="5" t="s">
        <v>56</v>
      </c>
      <c r="F253" s="8" t="s">
        <v>507</v>
      </c>
      <c r="G253" s="5"/>
      <c r="H253" s="5" t="s">
        <v>802</v>
      </c>
      <c r="I253" s="5" t="s">
        <v>825</v>
      </c>
      <c r="J253" s="5" t="s">
        <v>24</v>
      </c>
      <c r="K253" s="5"/>
    </row>
    <row r="254" spans="1:11" x14ac:dyDescent="0.25">
      <c r="A254" s="10">
        <v>45183</v>
      </c>
      <c r="B254" s="9" t="s">
        <v>508</v>
      </c>
      <c r="C254" s="9">
        <v>48</v>
      </c>
      <c r="D254" s="9" t="s">
        <v>17</v>
      </c>
      <c r="E254" s="9" t="s">
        <v>56</v>
      </c>
      <c r="F254" s="8" t="s">
        <v>507</v>
      </c>
      <c r="G254" s="9"/>
      <c r="H254" s="5" t="s">
        <v>802</v>
      </c>
      <c r="I254" s="5" t="s">
        <v>825</v>
      </c>
      <c r="J254" s="5" t="s">
        <v>24</v>
      </c>
      <c r="K254" s="9"/>
    </row>
    <row r="255" spans="1:11" x14ac:dyDescent="0.25">
      <c r="A255" s="4">
        <v>45184</v>
      </c>
      <c r="B255" s="5" t="s">
        <v>509</v>
      </c>
      <c r="C255" s="5">
        <v>40</v>
      </c>
      <c r="D255" s="5" t="s">
        <v>214</v>
      </c>
      <c r="E255" s="5" t="s">
        <v>510</v>
      </c>
      <c r="F255" s="5" t="s">
        <v>437</v>
      </c>
      <c r="G255" s="5"/>
      <c r="H255" s="5" t="s">
        <v>802</v>
      </c>
      <c r="I255" s="5" t="s">
        <v>512</v>
      </c>
      <c r="J255" s="5" t="s">
        <v>24</v>
      </c>
      <c r="K255" s="5">
        <v>154544043</v>
      </c>
    </row>
    <row r="256" spans="1:11" x14ac:dyDescent="0.25">
      <c r="A256" s="10">
        <v>45184</v>
      </c>
      <c r="B256" s="9" t="s">
        <v>509</v>
      </c>
      <c r="C256" s="9">
        <v>40</v>
      </c>
      <c r="D256" s="5" t="s">
        <v>214</v>
      </c>
      <c r="E256" s="9" t="s">
        <v>510</v>
      </c>
      <c r="F256" s="9" t="s">
        <v>511</v>
      </c>
      <c r="G256" s="9"/>
      <c r="H256" s="9" t="s">
        <v>34</v>
      </c>
      <c r="I256" s="9" t="s">
        <v>512</v>
      </c>
      <c r="J256" s="5" t="s">
        <v>24</v>
      </c>
      <c r="K256" s="9">
        <v>154544043</v>
      </c>
    </row>
    <row r="257" spans="1:11" x14ac:dyDescent="0.25">
      <c r="A257" s="4">
        <v>45187</v>
      </c>
      <c r="B257" s="5" t="s">
        <v>513</v>
      </c>
      <c r="C257" s="5">
        <v>62</v>
      </c>
      <c r="D257" s="8" t="s">
        <v>163</v>
      </c>
      <c r="E257" s="5" t="s">
        <v>515</v>
      </c>
      <c r="F257" s="5" t="s">
        <v>516</v>
      </c>
      <c r="G257" s="5" t="s">
        <v>159</v>
      </c>
      <c r="H257" s="5" t="s">
        <v>802</v>
      </c>
      <c r="I257" s="5" t="s">
        <v>825</v>
      </c>
      <c r="J257" s="9" t="s">
        <v>9</v>
      </c>
      <c r="K257" s="5"/>
    </row>
    <row r="258" spans="1:11" x14ac:dyDescent="0.25">
      <c r="A258" s="10">
        <v>45187</v>
      </c>
      <c r="B258" s="9" t="s">
        <v>517</v>
      </c>
      <c r="C258" s="9">
        <v>91</v>
      </c>
      <c r="D258" s="9" t="s">
        <v>514</v>
      </c>
      <c r="E258" s="8" t="s">
        <v>89</v>
      </c>
      <c r="F258" s="8" t="s">
        <v>429</v>
      </c>
      <c r="G258" s="9" t="s">
        <v>33</v>
      </c>
      <c r="H258" s="5" t="s">
        <v>802</v>
      </c>
      <c r="I258" s="8" t="s">
        <v>310</v>
      </c>
      <c r="J258" s="9" t="s">
        <v>9</v>
      </c>
      <c r="K258" s="9"/>
    </row>
    <row r="259" spans="1:11" x14ac:dyDescent="0.25">
      <c r="A259" s="4">
        <v>45188</v>
      </c>
      <c r="B259" s="5" t="s">
        <v>518</v>
      </c>
      <c r="C259" s="5">
        <v>99</v>
      </c>
      <c r="D259" s="5" t="s">
        <v>1679</v>
      </c>
      <c r="E259" s="8" t="s">
        <v>125</v>
      </c>
      <c r="F259" s="5" t="s">
        <v>39</v>
      </c>
      <c r="G259" s="5" t="s">
        <v>159</v>
      </c>
      <c r="H259" s="5" t="s">
        <v>802</v>
      </c>
      <c r="I259" s="5" t="s">
        <v>825</v>
      </c>
      <c r="J259" s="9" t="s">
        <v>9</v>
      </c>
      <c r="K259" s="5"/>
    </row>
    <row r="260" spans="1:11" x14ac:dyDescent="0.25">
      <c r="A260" s="10">
        <v>45188</v>
      </c>
      <c r="B260" s="9" t="s">
        <v>519</v>
      </c>
      <c r="C260" s="9">
        <v>54</v>
      </c>
      <c r="D260" s="8" t="s">
        <v>163</v>
      </c>
      <c r="E260" s="9" t="s">
        <v>410</v>
      </c>
      <c r="F260" s="9" t="s">
        <v>520</v>
      </c>
      <c r="G260" s="9"/>
      <c r="H260" s="5" t="s">
        <v>802</v>
      </c>
      <c r="I260" s="5" t="s">
        <v>825</v>
      </c>
      <c r="J260" s="5" t="s">
        <v>24</v>
      </c>
      <c r="K260" s="9"/>
    </row>
    <row r="261" spans="1:11" x14ac:dyDescent="0.25">
      <c r="A261" s="4">
        <v>45190</v>
      </c>
      <c r="B261" s="5" t="s">
        <v>521</v>
      </c>
      <c r="C261" s="5">
        <v>26</v>
      </c>
      <c r="D261" s="9" t="s">
        <v>17</v>
      </c>
      <c r="E261" s="8" t="s">
        <v>154</v>
      </c>
      <c r="F261" s="5" t="s">
        <v>434</v>
      </c>
      <c r="G261" s="5"/>
      <c r="H261" s="5" t="s">
        <v>802</v>
      </c>
      <c r="I261" s="8" t="s">
        <v>216</v>
      </c>
      <c r="J261" s="5" t="s">
        <v>24</v>
      </c>
      <c r="K261" s="5"/>
    </row>
    <row r="262" spans="1:11" x14ac:dyDescent="0.25">
      <c r="A262" s="10">
        <v>45190</v>
      </c>
      <c r="B262" s="9" t="s">
        <v>522</v>
      </c>
      <c r="C262" s="9">
        <v>65</v>
      </c>
      <c r="D262" s="9" t="s">
        <v>17</v>
      </c>
      <c r="E262" s="9" t="s">
        <v>56</v>
      </c>
      <c r="F262" s="8" t="s">
        <v>63</v>
      </c>
      <c r="G262" s="9" t="s">
        <v>32</v>
      </c>
      <c r="H262" s="5" t="s">
        <v>802</v>
      </c>
      <c r="I262" s="8" t="s">
        <v>310</v>
      </c>
      <c r="J262" s="9" t="s">
        <v>9</v>
      </c>
      <c r="K262" s="9">
        <v>3438607743</v>
      </c>
    </row>
    <row r="263" spans="1:11" x14ac:dyDescent="0.25">
      <c r="A263" s="4">
        <v>45190</v>
      </c>
      <c r="B263" s="5" t="s">
        <v>523</v>
      </c>
      <c r="C263" s="5">
        <v>81</v>
      </c>
      <c r="D263" s="8" t="s">
        <v>246</v>
      </c>
      <c r="E263" s="8" t="s">
        <v>125</v>
      </c>
      <c r="F263" s="5" t="s">
        <v>39</v>
      </c>
      <c r="G263" s="5" t="s">
        <v>159</v>
      </c>
      <c r="H263" s="5" t="s">
        <v>802</v>
      </c>
      <c r="I263" s="5" t="s">
        <v>825</v>
      </c>
      <c r="J263" s="9" t="s">
        <v>9</v>
      </c>
      <c r="K263" s="5"/>
    </row>
    <row r="264" spans="1:11" x14ac:dyDescent="0.25">
      <c r="A264" s="10">
        <v>45191</v>
      </c>
      <c r="B264" s="9" t="s">
        <v>524</v>
      </c>
      <c r="C264" s="9">
        <v>34</v>
      </c>
      <c r="D264" s="9" t="s">
        <v>1551</v>
      </c>
      <c r="E264" s="8" t="s">
        <v>154</v>
      </c>
      <c r="F264" s="9" t="s">
        <v>434</v>
      </c>
      <c r="G264" s="9"/>
      <c r="H264" s="9" t="s">
        <v>34</v>
      </c>
      <c r="I264" s="8" t="s">
        <v>216</v>
      </c>
      <c r="J264" s="5" t="s">
        <v>24</v>
      </c>
      <c r="K264" s="9">
        <v>3455406132</v>
      </c>
    </row>
    <row r="265" spans="1:11" x14ac:dyDescent="0.25">
      <c r="A265" s="4">
        <v>45191</v>
      </c>
      <c r="B265" s="5" t="s">
        <v>526</v>
      </c>
      <c r="C265" s="5">
        <v>23</v>
      </c>
      <c r="D265" s="9" t="s">
        <v>1551</v>
      </c>
      <c r="E265" s="8" t="s">
        <v>154</v>
      </c>
      <c r="F265" s="5" t="s">
        <v>434</v>
      </c>
      <c r="G265" s="5"/>
      <c r="H265" s="5" t="s">
        <v>34</v>
      </c>
      <c r="I265" s="8" t="s">
        <v>525</v>
      </c>
      <c r="J265" s="5" t="s">
        <v>24</v>
      </c>
      <c r="K265" s="5">
        <v>3444506352</v>
      </c>
    </row>
    <row r="266" spans="1:11" x14ac:dyDescent="0.25">
      <c r="A266" s="10">
        <v>45191</v>
      </c>
      <c r="B266" s="9" t="s">
        <v>527</v>
      </c>
      <c r="C266" s="9">
        <v>53</v>
      </c>
      <c r="D266" s="5" t="s">
        <v>100</v>
      </c>
      <c r="E266" s="9" t="s">
        <v>528</v>
      </c>
      <c r="F266" s="9" t="s">
        <v>317</v>
      </c>
      <c r="G266" s="9"/>
      <c r="H266" s="5" t="s">
        <v>802</v>
      </c>
      <c r="I266" s="8" t="s">
        <v>303</v>
      </c>
      <c r="J266" s="5" t="s">
        <v>24</v>
      </c>
      <c r="K266" s="9"/>
    </row>
    <row r="267" spans="1:11" x14ac:dyDescent="0.25">
      <c r="A267" s="4">
        <v>45195</v>
      </c>
      <c r="B267" s="5" t="s">
        <v>531</v>
      </c>
      <c r="C267" s="5">
        <v>74</v>
      </c>
      <c r="D267" s="5" t="s">
        <v>1679</v>
      </c>
      <c r="E267" s="8" t="s">
        <v>125</v>
      </c>
      <c r="F267" s="5" t="s">
        <v>39</v>
      </c>
      <c r="G267" s="5" t="s">
        <v>159</v>
      </c>
      <c r="H267" s="5" t="s">
        <v>802</v>
      </c>
      <c r="I267" s="5" t="s">
        <v>825</v>
      </c>
      <c r="J267" s="9" t="s">
        <v>9</v>
      </c>
      <c r="K267" s="5"/>
    </row>
    <row r="268" spans="1:11" x14ac:dyDescent="0.25">
      <c r="A268" s="10">
        <v>45196</v>
      </c>
      <c r="B268" s="9" t="s">
        <v>529</v>
      </c>
      <c r="C268" s="9">
        <v>21</v>
      </c>
      <c r="D268" s="5" t="s">
        <v>230</v>
      </c>
      <c r="E268" s="8" t="s">
        <v>154</v>
      </c>
      <c r="F268" s="9" t="s">
        <v>530</v>
      </c>
      <c r="G268" s="9"/>
      <c r="H268" s="9" t="s">
        <v>34</v>
      </c>
      <c r="I268" s="9" t="s">
        <v>533</v>
      </c>
      <c r="J268" s="5" t="s">
        <v>24</v>
      </c>
      <c r="K268" s="9">
        <v>3455410686</v>
      </c>
    </row>
    <row r="269" spans="1:11" x14ac:dyDescent="0.25">
      <c r="A269" s="4">
        <v>45197</v>
      </c>
      <c r="B269" s="5" t="s">
        <v>532</v>
      </c>
      <c r="C269" s="5"/>
      <c r="D269" s="8" t="s">
        <v>8</v>
      </c>
      <c r="E269" s="5" t="s">
        <v>1658</v>
      </c>
      <c r="F269" s="8" t="s">
        <v>66</v>
      </c>
      <c r="G269" s="5"/>
      <c r="H269" s="5" t="s">
        <v>802</v>
      </c>
      <c r="I269" s="5"/>
      <c r="J269" s="5" t="s">
        <v>24</v>
      </c>
      <c r="K269" s="5"/>
    </row>
    <row r="270" spans="1:11" x14ac:dyDescent="0.25">
      <c r="A270" s="10">
        <v>45197</v>
      </c>
      <c r="B270" s="9" t="s">
        <v>344</v>
      </c>
      <c r="C270" s="9"/>
      <c r="D270" s="8" t="s">
        <v>8</v>
      </c>
      <c r="E270" s="9" t="s">
        <v>56</v>
      </c>
      <c r="F270" s="8" t="s">
        <v>63</v>
      </c>
      <c r="G270" s="9" t="s">
        <v>159</v>
      </c>
      <c r="H270" s="5" t="s">
        <v>802</v>
      </c>
      <c r="I270" s="5"/>
      <c r="J270" s="9" t="s">
        <v>9</v>
      </c>
      <c r="K270" s="9"/>
    </row>
    <row r="271" spans="1:11" x14ac:dyDescent="0.25">
      <c r="A271" s="4">
        <v>45198</v>
      </c>
      <c r="B271" s="5" t="s">
        <v>534</v>
      </c>
      <c r="C271" s="5">
        <v>81</v>
      </c>
      <c r="D271" s="9" t="s">
        <v>17</v>
      </c>
      <c r="E271" s="5"/>
      <c r="F271" s="5"/>
      <c r="G271" s="5"/>
      <c r="H271" s="5" t="s">
        <v>802</v>
      </c>
      <c r="I271" s="9"/>
      <c r="J271" s="5" t="s">
        <v>24</v>
      </c>
      <c r="K271" s="5"/>
    </row>
    <row r="272" spans="1:11" x14ac:dyDescent="0.25">
      <c r="A272" s="10">
        <v>45236</v>
      </c>
      <c r="B272" s="9" t="s">
        <v>538</v>
      </c>
      <c r="C272" s="9">
        <v>65</v>
      </c>
      <c r="D272" s="5" t="s">
        <v>100</v>
      </c>
      <c r="E272" s="9" t="s">
        <v>78</v>
      </c>
      <c r="F272" s="9" t="s">
        <v>63</v>
      </c>
      <c r="G272" s="9" t="s">
        <v>539</v>
      </c>
      <c r="H272" s="5" t="s">
        <v>802</v>
      </c>
      <c r="I272" s="5" t="s">
        <v>825</v>
      </c>
      <c r="J272" s="9" t="s">
        <v>9</v>
      </c>
      <c r="K272" s="9"/>
    </row>
    <row r="273" spans="1:11" x14ac:dyDescent="0.25">
      <c r="A273" s="4">
        <v>45236</v>
      </c>
      <c r="B273" s="5" t="s">
        <v>541</v>
      </c>
      <c r="C273" s="5">
        <v>82</v>
      </c>
      <c r="D273" s="8" t="s">
        <v>8</v>
      </c>
      <c r="E273" s="5" t="s">
        <v>542</v>
      </c>
      <c r="F273" s="5" t="s">
        <v>63</v>
      </c>
      <c r="G273" s="5" t="s">
        <v>159</v>
      </c>
      <c r="H273" s="5" t="s">
        <v>802</v>
      </c>
      <c r="I273" s="8" t="s">
        <v>543</v>
      </c>
      <c r="J273" s="9" t="s">
        <v>9</v>
      </c>
      <c r="K273" s="5"/>
    </row>
    <row r="274" spans="1:11" x14ac:dyDescent="0.25">
      <c r="A274" s="10">
        <v>45236</v>
      </c>
      <c r="B274" s="8" t="s">
        <v>544</v>
      </c>
      <c r="C274" s="9">
        <v>61</v>
      </c>
      <c r="D274" s="8" t="s">
        <v>246</v>
      </c>
      <c r="E274" s="9" t="s">
        <v>224</v>
      </c>
      <c r="F274" s="9" t="s">
        <v>545</v>
      </c>
      <c r="G274" s="9" t="s">
        <v>159</v>
      </c>
      <c r="H274" s="5" t="s">
        <v>802</v>
      </c>
      <c r="I274" s="5" t="s">
        <v>825</v>
      </c>
      <c r="J274" s="9" t="s">
        <v>9</v>
      </c>
      <c r="K274" s="9"/>
    </row>
    <row r="275" spans="1:11" x14ac:dyDescent="0.25">
      <c r="A275" s="4">
        <v>45236</v>
      </c>
      <c r="B275" s="8" t="s">
        <v>546</v>
      </c>
      <c r="C275" s="5">
        <v>83</v>
      </c>
      <c r="D275" s="8" t="s">
        <v>246</v>
      </c>
      <c r="E275" s="5" t="s">
        <v>89</v>
      </c>
      <c r="F275" s="5" t="s">
        <v>39</v>
      </c>
      <c r="G275" s="5" t="s">
        <v>159</v>
      </c>
      <c r="H275" s="5" t="s">
        <v>802</v>
      </c>
      <c r="I275" s="5" t="s">
        <v>825</v>
      </c>
      <c r="J275" s="9" t="s">
        <v>9</v>
      </c>
      <c r="K275" s="5"/>
    </row>
    <row r="276" spans="1:11" x14ac:dyDescent="0.25">
      <c r="A276" s="10">
        <v>45236</v>
      </c>
      <c r="B276" s="8" t="s">
        <v>547</v>
      </c>
      <c r="C276" s="9">
        <v>80</v>
      </c>
      <c r="D276" s="8" t="s">
        <v>8</v>
      </c>
      <c r="E276" s="9" t="s">
        <v>542</v>
      </c>
      <c r="F276" s="9" t="s">
        <v>63</v>
      </c>
      <c r="G276" s="9" t="s">
        <v>159</v>
      </c>
      <c r="H276" s="5" t="s">
        <v>802</v>
      </c>
      <c r="I276" s="5" t="s">
        <v>825</v>
      </c>
      <c r="J276" s="9" t="s">
        <v>9</v>
      </c>
      <c r="K276" s="9"/>
    </row>
    <row r="277" spans="1:11" x14ac:dyDescent="0.25">
      <c r="A277" s="4">
        <v>45237</v>
      </c>
      <c r="B277" s="8" t="s">
        <v>548</v>
      </c>
      <c r="C277" s="5">
        <v>77</v>
      </c>
      <c r="D277" s="8" t="s">
        <v>246</v>
      </c>
      <c r="E277" s="5" t="s">
        <v>89</v>
      </c>
      <c r="F277" s="5" t="s">
        <v>549</v>
      </c>
      <c r="G277" s="5" t="s">
        <v>159</v>
      </c>
      <c r="H277" s="5" t="s">
        <v>802</v>
      </c>
      <c r="I277" s="5" t="s">
        <v>825</v>
      </c>
      <c r="J277" s="9" t="s">
        <v>9</v>
      </c>
      <c r="K277" s="5"/>
    </row>
    <row r="278" spans="1:11" x14ac:dyDescent="0.25">
      <c r="A278" s="10">
        <v>45237</v>
      </c>
      <c r="B278" s="8" t="s">
        <v>550</v>
      </c>
      <c r="C278" s="9">
        <v>84</v>
      </c>
      <c r="D278" s="8" t="s">
        <v>246</v>
      </c>
      <c r="E278" s="9" t="s">
        <v>89</v>
      </c>
      <c r="F278" s="9" t="s">
        <v>551</v>
      </c>
      <c r="G278" s="9" t="s">
        <v>159</v>
      </c>
      <c r="H278" s="5" t="s">
        <v>802</v>
      </c>
      <c r="I278" s="5" t="s">
        <v>825</v>
      </c>
      <c r="J278" s="9" t="s">
        <v>9</v>
      </c>
      <c r="K278" s="9"/>
    </row>
    <row r="279" spans="1:11" x14ac:dyDescent="0.25">
      <c r="A279" s="4">
        <v>45237</v>
      </c>
      <c r="B279" s="5" t="s">
        <v>552</v>
      </c>
      <c r="C279" s="5">
        <v>59</v>
      </c>
      <c r="D279" s="5" t="s">
        <v>230</v>
      </c>
      <c r="E279" s="5" t="s">
        <v>300</v>
      </c>
      <c r="F279" s="5" t="s">
        <v>301</v>
      </c>
      <c r="G279" s="5"/>
      <c r="H279" s="4" t="s">
        <v>59</v>
      </c>
      <c r="I279" s="5" t="s">
        <v>825</v>
      </c>
      <c r="J279" s="5" t="s">
        <v>24</v>
      </c>
      <c r="K279" s="5"/>
    </row>
    <row r="280" spans="1:11" x14ac:dyDescent="0.25">
      <c r="A280" s="10">
        <v>45237</v>
      </c>
      <c r="B280" s="9" t="s">
        <v>553</v>
      </c>
      <c r="C280" s="9">
        <v>18</v>
      </c>
      <c r="D280" s="9"/>
      <c r="E280" s="8" t="s">
        <v>112</v>
      </c>
      <c r="F280" s="9" t="s">
        <v>554</v>
      </c>
      <c r="G280" s="9"/>
      <c r="H280" s="9" t="s">
        <v>59</v>
      </c>
      <c r="I280" s="5" t="s">
        <v>825</v>
      </c>
      <c r="J280" s="5" t="s">
        <v>24</v>
      </c>
      <c r="K280" s="9"/>
    </row>
    <row r="281" spans="1:11" x14ac:dyDescent="0.25">
      <c r="A281" s="4">
        <v>45237</v>
      </c>
      <c r="B281" s="8" t="s">
        <v>555</v>
      </c>
      <c r="C281" s="5">
        <v>66</v>
      </c>
      <c r="D281" s="8" t="s">
        <v>163</v>
      </c>
      <c r="E281" s="5" t="s">
        <v>556</v>
      </c>
      <c r="F281" s="5" t="s">
        <v>557</v>
      </c>
      <c r="G281" s="5" t="s">
        <v>159</v>
      </c>
      <c r="H281" s="5" t="s">
        <v>802</v>
      </c>
      <c r="I281" s="5" t="s">
        <v>825</v>
      </c>
      <c r="J281" s="9" t="s">
        <v>9</v>
      </c>
      <c r="K281" s="5"/>
    </row>
    <row r="282" spans="1:11" x14ac:dyDescent="0.25">
      <c r="A282" s="10">
        <v>45237</v>
      </c>
      <c r="B282" s="9" t="s">
        <v>535</v>
      </c>
      <c r="C282" s="9">
        <v>34</v>
      </c>
      <c r="D282" s="5" t="s">
        <v>100</v>
      </c>
      <c r="E282" s="9" t="s">
        <v>536</v>
      </c>
      <c r="F282" s="9" t="s">
        <v>537</v>
      </c>
      <c r="G282" s="9"/>
      <c r="H282" s="5" t="s">
        <v>802</v>
      </c>
      <c r="I282" s="8" t="s">
        <v>378</v>
      </c>
      <c r="J282" s="5" t="s">
        <v>24</v>
      </c>
      <c r="K282" s="9"/>
    </row>
    <row r="283" spans="1:11" x14ac:dyDescent="0.25">
      <c r="A283" s="4">
        <v>45239</v>
      </c>
      <c r="B283" s="5" t="s">
        <v>558</v>
      </c>
      <c r="C283" s="5">
        <v>56</v>
      </c>
      <c r="D283" s="9" t="s">
        <v>17</v>
      </c>
      <c r="E283" s="5" t="s">
        <v>559</v>
      </c>
      <c r="F283" s="5" t="s">
        <v>560</v>
      </c>
      <c r="G283" s="5"/>
      <c r="H283" s="5" t="s">
        <v>802</v>
      </c>
      <c r="I283" s="5" t="s">
        <v>825</v>
      </c>
      <c r="J283" s="5" t="s">
        <v>24</v>
      </c>
      <c r="K283" s="5"/>
    </row>
    <row r="284" spans="1:11" x14ac:dyDescent="0.25">
      <c r="A284" s="10">
        <v>45239</v>
      </c>
      <c r="B284" s="9" t="s">
        <v>561</v>
      </c>
      <c r="C284" s="9">
        <v>36</v>
      </c>
      <c r="D284" s="5" t="s">
        <v>214</v>
      </c>
      <c r="E284" s="9" t="s">
        <v>215</v>
      </c>
      <c r="F284" s="9" t="s">
        <v>562</v>
      </c>
      <c r="G284" s="9" t="s">
        <v>539</v>
      </c>
      <c r="H284" s="5" t="s">
        <v>802</v>
      </c>
      <c r="I284" s="5" t="s">
        <v>825</v>
      </c>
      <c r="J284" s="9" t="s">
        <v>9</v>
      </c>
      <c r="K284" s="9"/>
    </row>
    <row r="285" spans="1:11" x14ac:dyDescent="0.25">
      <c r="A285" s="4">
        <v>45239</v>
      </c>
      <c r="B285" s="8" t="s">
        <v>563</v>
      </c>
      <c r="C285" s="5">
        <v>90</v>
      </c>
      <c r="D285" s="8" t="s">
        <v>163</v>
      </c>
      <c r="E285" s="5" t="s">
        <v>89</v>
      </c>
      <c r="F285" s="5" t="s">
        <v>564</v>
      </c>
      <c r="G285" s="5" t="s">
        <v>159</v>
      </c>
      <c r="H285" s="5" t="s">
        <v>802</v>
      </c>
      <c r="I285" s="5" t="s">
        <v>825</v>
      </c>
      <c r="J285" s="9" t="s">
        <v>9</v>
      </c>
      <c r="K285" s="5"/>
    </row>
    <row r="286" spans="1:11" x14ac:dyDescent="0.25">
      <c r="A286" s="10">
        <v>45240</v>
      </c>
      <c r="B286" s="9" t="s">
        <v>565</v>
      </c>
      <c r="C286" s="9"/>
      <c r="D286" s="9" t="s">
        <v>17</v>
      </c>
      <c r="E286" s="9" t="s">
        <v>300</v>
      </c>
      <c r="F286" s="9" t="s">
        <v>39</v>
      </c>
      <c r="G286" s="9" t="s">
        <v>159</v>
      </c>
      <c r="H286" s="5" t="s">
        <v>802</v>
      </c>
      <c r="I286" s="5" t="s">
        <v>825</v>
      </c>
      <c r="J286" s="9" t="s">
        <v>9</v>
      </c>
      <c r="K286" s="9"/>
    </row>
    <row r="287" spans="1:11" x14ac:dyDescent="0.25">
      <c r="A287" s="4">
        <v>45243</v>
      </c>
      <c r="B287" s="8" t="s">
        <v>566</v>
      </c>
      <c r="C287" s="5">
        <v>26</v>
      </c>
      <c r="D287" s="8" t="s">
        <v>8</v>
      </c>
      <c r="E287" s="5" t="s">
        <v>273</v>
      </c>
      <c r="F287" s="5" t="s">
        <v>567</v>
      </c>
      <c r="G287" s="5"/>
      <c r="H287" s="5" t="s">
        <v>802</v>
      </c>
      <c r="I287" s="8" t="s">
        <v>332</v>
      </c>
      <c r="J287" s="5" t="s">
        <v>24</v>
      </c>
      <c r="K287" s="5"/>
    </row>
    <row r="288" spans="1:11" x14ac:dyDescent="0.25">
      <c r="A288" s="10">
        <v>45243</v>
      </c>
      <c r="B288" s="9" t="s">
        <v>568</v>
      </c>
      <c r="C288" s="9">
        <v>69</v>
      </c>
      <c r="D288" s="8" t="s">
        <v>8</v>
      </c>
      <c r="E288" s="9" t="s">
        <v>569</v>
      </c>
      <c r="F288" s="9" t="s">
        <v>63</v>
      </c>
      <c r="G288" s="9" t="s">
        <v>539</v>
      </c>
      <c r="H288" s="5" t="s">
        <v>802</v>
      </c>
      <c r="I288" s="8" t="s">
        <v>571</v>
      </c>
      <c r="J288" s="9" t="s">
        <v>9</v>
      </c>
      <c r="K288" s="9"/>
    </row>
    <row r="289" spans="1:11" x14ac:dyDescent="0.25">
      <c r="A289" s="4">
        <v>45243</v>
      </c>
      <c r="B289" s="5" t="s">
        <v>568</v>
      </c>
      <c r="C289" s="5">
        <v>69</v>
      </c>
      <c r="D289" s="8" t="s">
        <v>8</v>
      </c>
      <c r="E289" s="5" t="s">
        <v>570</v>
      </c>
      <c r="F289" s="5" t="s">
        <v>301</v>
      </c>
      <c r="G289" s="5" t="s">
        <v>539</v>
      </c>
      <c r="H289" s="5" t="s">
        <v>802</v>
      </c>
      <c r="I289" s="8" t="s">
        <v>571</v>
      </c>
      <c r="J289" s="9" t="s">
        <v>9</v>
      </c>
      <c r="K289" s="5"/>
    </row>
    <row r="290" spans="1:11" x14ac:dyDescent="0.25">
      <c r="A290" s="7">
        <v>45244</v>
      </c>
      <c r="B290" s="8" t="s">
        <v>572</v>
      </c>
      <c r="C290" s="8">
        <v>23</v>
      </c>
      <c r="D290" s="8" t="s">
        <v>8</v>
      </c>
      <c r="E290" s="8" t="s">
        <v>112</v>
      </c>
      <c r="F290" s="8" t="s">
        <v>554</v>
      </c>
      <c r="G290" s="8" t="s">
        <v>159</v>
      </c>
      <c r="H290" s="5" t="s">
        <v>802</v>
      </c>
      <c r="I290" s="5" t="s">
        <v>825</v>
      </c>
      <c r="J290" s="9" t="s">
        <v>9</v>
      </c>
      <c r="K290" s="9"/>
    </row>
    <row r="291" spans="1:11" x14ac:dyDescent="0.25">
      <c r="A291" s="4">
        <v>45244</v>
      </c>
      <c r="B291" s="8" t="s">
        <v>573</v>
      </c>
      <c r="C291" s="5">
        <v>76</v>
      </c>
      <c r="D291" s="8" t="s">
        <v>246</v>
      </c>
      <c r="E291" s="5" t="s">
        <v>556</v>
      </c>
      <c r="F291" s="5" t="s">
        <v>574</v>
      </c>
      <c r="G291" s="5" t="s">
        <v>159</v>
      </c>
      <c r="H291" s="5" t="s">
        <v>802</v>
      </c>
      <c r="I291" s="5" t="s">
        <v>825</v>
      </c>
      <c r="J291" s="9" t="s">
        <v>9</v>
      </c>
      <c r="K291" s="5"/>
    </row>
    <row r="292" spans="1:11" x14ac:dyDescent="0.25">
      <c r="A292" s="10">
        <v>45244</v>
      </c>
      <c r="B292" s="8" t="s">
        <v>575</v>
      </c>
      <c r="C292" s="9">
        <v>69</v>
      </c>
      <c r="D292" s="9" t="s">
        <v>111</v>
      </c>
      <c r="E292" s="9" t="s">
        <v>556</v>
      </c>
      <c r="F292" s="9" t="s">
        <v>574</v>
      </c>
      <c r="G292" s="9" t="s">
        <v>159</v>
      </c>
      <c r="H292" s="5" t="s">
        <v>802</v>
      </c>
      <c r="I292" s="5" t="s">
        <v>825</v>
      </c>
      <c r="J292" s="9" t="s">
        <v>9</v>
      </c>
      <c r="K292" s="9"/>
    </row>
    <row r="293" spans="1:11" x14ac:dyDescent="0.25">
      <c r="A293" s="4">
        <v>45246</v>
      </c>
      <c r="B293" s="5" t="s">
        <v>576</v>
      </c>
      <c r="C293" s="5">
        <v>48</v>
      </c>
      <c r="D293" s="8" t="s">
        <v>120</v>
      </c>
      <c r="E293" s="5" t="s">
        <v>542</v>
      </c>
      <c r="F293" s="5" t="s">
        <v>63</v>
      </c>
      <c r="G293" s="5"/>
      <c r="H293" s="5" t="s">
        <v>802</v>
      </c>
      <c r="I293" s="5" t="s">
        <v>825</v>
      </c>
      <c r="J293" s="5" t="s">
        <v>24</v>
      </c>
      <c r="K293" s="5"/>
    </row>
    <row r="294" spans="1:11" x14ac:dyDescent="0.25">
      <c r="A294" s="10">
        <v>45247</v>
      </c>
      <c r="B294" s="9" t="s">
        <v>577</v>
      </c>
      <c r="C294" s="9">
        <v>69</v>
      </c>
      <c r="D294" s="5" t="s">
        <v>214</v>
      </c>
      <c r="E294" s="9" t="s">
        <v>215</v>
      </c>
      <c r="F294" s="9" t="s">
        <v>578</v>
      </c>
      <c r="G294" s="9" t="s">
        <v>539</v>
      </c>
      <c r="H294" s="8" t="s">
        <v>606</v>
      </c>
      <c r="I294" s="5" t="s">
        <v>825</v>
      </c>
      <c r="J294" s="9" t="s">
        <v>9</v>
      </c>
      <c r="K294" s="9"/>
    </row>
    <row r="295" spans="1:11" x14ac:dyDescent="0.25">
      <c r="A295" s="4">
        <v>45247</v>
      </c>
      <c r="B295" s="5" t="s">
        <v>579</v>
      </c>
      <c r="C295" s="5">
        <v>61</v>
      </c>
      <c r="D295" s="5" t="s">
        <v>214</v>
      </c>
      <c r="E295" s="5" t="s">
        <v>215</v>
      </c>
      <c r="F295" s="5" t="s">
        <v>578</v>
      </c>
      <c r="G295" s="5" t="s">
        <v>34</v>
      </c>
      <c r="H295" s="5" t="s">
        <v>802</v>
      </c>
      <c r="I295" s="5" t="s">
        <v>825</v>
      </c>
      <c r="J295" s="5" t="s">
        <v>24</v>
      </c>
      <c r="K295" s="5"/>
    </row>
    <row r="296" spans="1:11" x14ac:dyDescent="0.25">
      <c r="A296" s="10">
        <v>45247</v>
      </c>
      <c r="B296" s="9" t="s">
        <v>580</v>
      </c>
      <c r="C296" s="9">
        <v>36</v>
      </c>
      <c r="D296" s="5" t="s">
        <v>214</v>
      </c>
      <c r="E296" s="9" t="s">
        <v>215</v>
      </c>
      <c r="F296" s="9" t="s">
        <v>578</v>
      </c>
      <c r="G296" s="9" t="s">
        <v>34</v>
      </c>
      <c r="H296" s="5" t="s">
        <v>802</v>
      </c>
      <c r="I296" s="8" t="s">
        <v>293</v>
      </c>
      <c r="J296" s="5" t="s">
        <v>24</v>
      </c>
      <c r="K296" s="9"/>
    </row>
    <row r="297" spans="1:11" x14ac:dyDescent="0.25">
      <c r="A297" s="4">
        <v>45247</v>
      </c>
      <c r="B297" s="5" t="s">
        <v>581</v>
      </c>
      <c r="C297" s="5">
        <v>65</v>
      </c>
      <c r="D297" s="5" t="s">
        <v>214</v>
      </c>
      <c r="E297" s="5" t="s">
        <v>215</v>
      </c>
      <c r="F297" s="5" t="s">
        <v>578</v>
      </c>
      <c r="G297" s="5" t="s">
        <v>539</v>
      </c>
      <c r="H297" s="8" t="s">
        <v>422</v>
      </c>
      <c r="I297" s="5" t="s">
        <v>825</v>
      </c>
      <c r="J297" s="9" t="s">
        <v>9</v>
      </c>
      <c r="K297" s="5"/>
    </row>
    <row r="298" spans="1:11" x14ac:dyDescent="0.25">
      <c r="A298" s="10">
        <v>45247</v>
      </c>
      <c r="B298" s="9" t="s">
        <v>582</v>
      </c>
      <c r="C298" s="9">
        <v>69</v>
      </c>
      <c r="D298" s="9" t="s">
        <v>17</v>
      </c>
      <c r="E298" s="9" t="s">
        <v>559</v>
      </c>
      <c r="F298" s="9" t="s">
        <v>294</v>
      </c>
      <c r="G298" s="9" t="s">
        <v>159</v>
      </c>
      <c r="H298" s="5" t="s">
        <v>802</v>
      </c>
      <c r="I298" s="5" t="s">
        <v>825</v>
      </c>
      <c r="J298" s="9" t="s">
        <v>9</v>
      </c>
      <c r="K298" s="9"/>
    </row>
    <row r="299" spans="1:11" x14ac:dyDescent="0.25">
      <c r="A299" s="4">
        <v>45251</v>
      </c>
      <c r="B299" s="8" t="s">
        <v>583</v>
      </c>
      <c r="C299" s="5">
        <v>72</v>
      </c>
      <c r="D299" s="8" t="s">
        <v>246</v>
      </c>
      <c r="E299" s="5" t="s">
        <v>584</v>
      </c>
      <c r="F299" s="5" t="s">
        <v>317</v>
      </c>
      <c r="G299" s="5" t="s">
        <v>159</v>
      </c>
      <c r="H299" s="5" t="s">
        <v>802</v>
      </c>
      <c r="I299" s="5" t="s">
        <v>825</v>
      </c>
      <c r="J299" s="9" t="s">
        <v>9</v>
      </c>
      <c r="K299" s="5"/>
    </row>
    <row r="300" spans="1:11" x14ac:dyDescent="0.25">
      <c r="A300" s="10">
        <v>45251</v>
      </c>
      <c r="B300" s="9" t="s">
        <v>585</v>
      </c>
      <c r="C300" s="9">
        <v>70</v>
      </c>
      <c r="D300" s="8" t="s">
        <v>246</v>
      </c>
      <c r="E300" s="9" t="s">
        <v>556</v>
      </c>
      <c r="F300" s="9" t="s">
        <v>586</v>
      </c>
      <c r="G300" s="9" t="s">
        <v>159</v>
      </c>
      <c r="H300" s="5" t="s">
        <v>802</v>
      </c>
      <c r="I300" s="5" t="s">
        <v>825</v>
      </c>
      <c r="J300" s="9" t="s">
        <v>9</v>
      </c>
      <c r="K300" s="9"/>
    </row>
    <row r="301" spans="1:11" x14ac:dyDescent="0.25">
      <c r="A301" s="4">
        <v>45253</v>
      </c>
      <c r="B301" s="5" t="s">
        <v>587</v>
      </c>
      <c r="C301" s="5">
        <v>69</v>
      </c>
      <c r="D301" s="9" t="s">
        <v>1678</v>
      </c>
      <c r="E301" s="5" t="s">
        <v>542</v>
      </c>
      <c r="F301" s="5" t="s">
        <v>63</v>
      </c>
      <c r="G301" s="5" t="s">
        <v>539</v>
      </c>
      <c r="H301" s="5" t="s">
        <v>802</v>
      </c>
      <c r="I301" s="8" t="s">
        <v>310</v>
      </c>
      <c r="J301" s="9" t="s">
        <v>9</v>
      </c>
      <c r="K301" s="5"/>
    </row>
    <row r="302" spans="1:11" x14ac:dyDescent="0.25">
      <c r="A302" s="7">
        <v>45253</v>
      </c>
      <c r="B302" s="8" t="s">
        <v>588</v>
      </c>
      <c r="C302" s="8">
        <v>73</v>
      </c>
      <c r="D302" s="9" t="s">
        <v>1678</v>
      </c>
      <c r="E302" s="8" t="s">
        <v>542</v>
      </c>
      <c r="F302" s="8" t="s">
        <v>63</v>
      </c>
      <c r="G302" s="8" t="s">
        <v>159</v>
      </c>
      <c r="H302" s="5" t="s">
        <v>802</v>
      </c>
      <c r="I302" s="5" t="s">
        <v>825</v>
      </c>
      <c r="J302" s="9" t="s">
        <v>9</v>
      </c>
      <c r="K302" s="9"/>
    </row>
    <row r="303" spans="1:11" x14ac:dyDescent="0.25">
      <c r="A303" s="4">
        <v>45253</v>
      </c>
      <c r="B303" s="5" t="s">
        <v>589</v>
      </c>
      <c r="C303" s="5">
        <v>38</v>
      </c>
      <c r="D303" s="5" t="s">
        <v>100</v>
      </c>
      <c r="E303" s="5"/>
      <c r="F303" s="5" t="s">
        <v>317</v>
      </c>
      <c r="G303" s="5"/>
      <c r="H303" s="5" t="s">
        <v>802</v>
      </c>
      <c r="I303" s="5" t="s">
        <v>825</v>
      </c>
      <c r="J303" s="5" t="s">
        <v>24</v>
      </c>
      <c r="K303" s="5"/>
    </row>
    <row r="304" spans="1:11" x14ac:dyDescent="0.25">
      <c r="A304" s="10">
        <v>45254</v>
      </c>
      <c r="B304" s="9" t="s">
        <v>590</v>
      </c>
      <c r="C304" s="9">
        <v>22</v>
      </c>
      <c r="D304" s="9" t="s">
        <v>1551</v>
      </c>
      <c r="E304" s="8" t="s">
        <v>112</v>
      </c>
      <c r="F304" s="9" t="s">
        <v>591</v>
      </c>
      <c r="G304" s="9"/>
      <c r="H304" s="9" t="s">
        <v>59</v>
      </c>
      <c r="I304" s="8" t="s">
        <v>302</v>
      </c>
      <c r="J304" s="5" t="s">
        <v>24</v>
      </c>
      <c r="K304" s="9"/>
    </row>
    <row r="305" spans="1:11" x14ac:dyDescent="0.25">
      <c r="A305" s="4">
        <v>45254</v>
      </c>
      <c r="B305" s="5" t="s">
        <v>592</v>
      </c>
      <c r="C305" s="5">
        <v>23</v>
      </c>
      <c r="D305" s="9" t="s">
        <v>1551</v>
      </c>
      <c r="E305" s="8" t="s">
        <v>112</v>
      </c>
      <c r="F305" s="5" t="s">
        <v>591</v>
      </c>
      <c r="G305" s="5"/>
      <c r="H305" s="5" t="s">
        <v>59</v>
      </c>
      <c r="I305" s="8" t="s">
        <v>593</v>
      </c>
      <c r="J305" s="5" t="s">
        <v>24</v>
      </c>
      <c r="K305" s="5"/>
    </row>
    <row r="306" spans="1:11" x14ac:dyDescent="0.25">
      <c r="A306" s="7">
        <v>45254</v>
      </c>
      <c r="B306" s="8" t="s">
        <v>594</v>
      </c>
      <c r="C306" s="8">
        <v>85</v>
      </c>
      <c r="D306" s="8" t="s">
        <v>163</v>
      </c>
      <c r="E306" s="8" t="s">
        <v>595</v>
      </c>
      <c r="F306" s="8" t="s">
        <v>596</v>
      </c>
      <c r="G306" s="8" t="s">
        <v>159</v>
      </c>
      <c r="H306" s="5" t="s">
        <v>802</v>
      </c>
      <c r="I306" s="5" t="s">
        <v>825</v>
      </c>
      <c r="J306" s="9" t="s">
        <v>9</v>
      </c>
      <c r="K306" s="9"/>
    </row>
    <row r="307" spans="1:11" x14ac:dyDescent="0.25">
      <c r="A307" s="7">
        <v>45257</v>
      </c>
      <c r="B307" s="8" t="s">
        <v>597</v>
      </c>
      <c r="C307" s="8">
        <v>72</v>
      </c>
      <c r="D307" s="8" t="s">
        <v>246</v>
      </c>
      <c r="E307" s="8" t="s">
        <v>89</v>
      </c>
      <c r="F307" s="8" t="s">
        <v>39</v>
      </c>
      <c r="G307" s="8" t="s">
        <v>159</v>
      </c>
      <c r="H307" s="5" t="s">
        <v>802</v>
      </c>
      <c r="I307" s="5" t="s">
        <v>825</v>
      </c>
      <c r="J307" s="9" t="s">
        <v>9</v>
      </c>
      <c r="K307" s="5"/>
    </row>
    <row r="308" spans="1:11" x14ac:dyDescent="0.25">
      <c r="A308" s="7">
        <v>45257</v>
      </c>
      <c r="B308" s="8" t="s">
        <v>597</v>
      </c>
      <c r="C308" s="8">
        <v>72</v>
      </c>
      <c r="D308" s="8" t="s">
        <v>246</v>
      </c>
      <c r="E308" s="8" t="s">
        <v>224</v>
      </c>
      <c r="F308" s="8" t="s">
        <v>98</v>
      </c>
      <c r="G308" s="8" t="s">
        <v>159</v>
      </c>
      <c r="H308" s="5" t="s">
        <v>802</v>
      </c>
      <c r="I308" s="5" t="s">
        <v>825</v>
      </c>
      <c r="J308" s="9" t="s">
        <v>9</v>
      </c>
      <c r="K308" s="9"/>
    </row>
    <row r="309" spans="1:11" x14ac:dyDescent="0.25">
      <c r="A309" s="7">
        <v>45257</v>
      </c>
      <c r="B309" s="8" t="s">
        <v>598</v>
      </c>
      <c r="C309" s="8">
        <v>78</v>
      </c>
      <c r="D309" s="8" t="s">
        <v>246</v>
      </c>
      <c r="E309" s="8" t="s">
        <v>89</v>
      </c>
      <c r="F309" s="8" t="s">
        <v>75</v>
      </c>
      <c r="G309" s="8" t="s">
        <v>159</v>
      </c>
      <c r="H309" s="5" t="s">
        <v>802</v>
      </c>
      <c r="I309" s="5" t="s">
        <v>825</v>
      </c>
      <c r="J309" s="9" t="s">
        <v>9</v>
      </c>
      <c r="K309" s="5"/>
    </row>
    <row r="310" spans="1:11" x14ac:dyDescent="0.25">
      <c r="A310" s="7">
        <v>45258</v>
      </c>
      <c r="B310" s="8" t="s">
        <v>599</v>
      </c>
      <c r="C310" s="8">
        <v>87</v>
      </c>
      <c r="D310" s="8" t="s">
        <v>246</v>
      </c>
      <c r="E310" s="8" t="s">
        <v>89</v>
      </c>
      <c r="F310" s="8" t="s">
        <v>39</v>
      </c>
      <c r="G310" s="8" t="s">
        <v>33</v>
      </c>
      <c r="H310" s="5" t="s">
        <v>802</v>
      </c>
      <c r="I310" s="5" t="s">
        <v>825</v>
      </c>
      <c r="J310" s="9" t="s">
        <v>9</v>
      </c>
      <c r="K310" s="9"/>
    </row>
    <row r="311" spans="1:11" x14ac:dyDescent="0.25">
      <c r="A311" s="7">
        <v>45260</v>
      </c>
      <c r="B311" s="8" t="s">
        <v>600</v>
      </c>
      <c r="C311" s="8">
        <v>81</v>
      </c>
      <c r="D311" s="8" t="s">
        <v>8</v>
      </c>
      <c r="E311" s="8" t="s">
        <v>559</v>
      </c>
      <c r="F311" s="8" t="s">
        <v>549</v>
      </c>
      <c r="G311" s="8" t="s">
        <v>33</v>
      </c>
      <c r="H311" s="5" t="s">
        <v>802</v>
      </c>
      <c r="I311" s="8" t="s">
        <v>601</v>
      </c>
      <c r="J311" s="9" t="s">
        <v>9</v>
      </c>
      <c r="K311" s="5"/>
    </row>
    <row r="312" spans="1:11" x14ac:dyDescent="0.25">
      <c r="A312" s="7">
        <v>45260</v>
      </c>
      <c r="B312" s="8" t="s">
        <v>602</v>
      </c>
      <c r="C312" s="8">
        <v>23</v>
      </c>
      <c r="D312" s="8" t="s">
        <v>120</v>
      </c>
      <c r="E312" s="8" t="s">
        <v>112</v>
      </c>
      <c r="F312" s="8" t="s">
        <v>591</v>
      </c>
      <c r="G312" s="8"/>
      <c r="H312" s="8" t="s">
        <v>59</v>
      </c>
      <c r="I312" s="8" t="s">
        <v>302</v>
      </c>
      <c r="J312" s="5" t="s">
        <v>24</v>
      </c>
      <c r="K312" s="9"/>
    </row>
    <row r="313" spans="1:11" x14ac:dyDescent="0.25">
      <c r="A313" s="7">
        <v>45260</v>
      </c>
      <c r="B313" s="8" t="s">
        <v>603</v>
      </c>
      <c r="C313" s="8">
        <v>52</v>
      </c>
      <c r="D313" s="5" t="s">
        <v>100</v>
      </c>
      <c r="E313" s="8" t="s">
        <v>536</v>
      </c>
      <c r="F313" s="8" t="s">
        <v>66</v>
      </c>
      <c r="G313" s="8"/>
      <c r="H313" s="7" t="s">
        <v>59</v>
      </c>
      <c r="I313" s="5" t="s">
        <v>1416</v>
      </c>
      <c r="J313" s="5" t="s">
        <v>24</v>
      </c>
      <c r="K313" s="5"/>
    </row>
    <row r="314" spans="1:11" x14ac:dyDescent="0.25">
      <c r="A314" s="7">
        <v>45264</v>
      </c>
      <c r="B314" s="8" t="s">
        <v>604</v>
      </c>
      <c r="C314" s="8">
        <v>61</v>
      </c>
      <c r="D314" s="8" t="s">
        <v>163</v>
      </c>
      <c r="E314" s="8" t="s">
        <v>145</v>
      </c>
      <c r="F314" s="8" t="s">
        <v>607</v>
      </c>
      <c r="G314" s="8" t="s">
        <v>159</v>
      </c>
      <c r="H314" s="5" t="s">
        <v>802</v>
      </c>
      <c r="I314" s="5" t="s">
        <v>825</v>
      </c>
      <c r="J314" s="9" t="s">
        <v>9</v>
      </c>
      <c r="K314" s="9"/>
    </row>
    <row r="315" spans="1:11" x14ac:dyDescent="0.25">
      <c r="A315" s="7">
        <v>45264</v>
      </c>
      <c r="B315" s="8" t="s">
        <v>605</v>
      </c>
      <c r="C315" s="8">
        <v>66</v>
      </c>
      <c r="D315" s="8" t="s">
        <v>163</v>
      </c>
      <c r="E315" s="8" t="s">
        <v>145</v>
      </c>
      <c r="F315" s="8" t="s">
        <v>607</v>
      </c>
      <c r="G315" s="8" t="s">
        <v>159</v>
      </c>
      <c r="H315" s="5" t="s">
        <v>802</v>
      </c>
      <c r="I315" s="5" t="s">
        <v>825</v>
      </c>
      <c r="J315" s="9" t="s">
        <v>9</v>
      </c>
      <c r="K315" s="5"/>
    </row>
    <row r="316" spans="1:11" x14ac:dyDescent="0.25">
      <c r="A316" s="7">
        <v>45266</v>
      </c>
      <c r="B316" s="8" t="s">
        <v>608</v>
      </c>
      <c r="C316" s="8">
        <v>57</v>
      </c>
      <c r="D316" s="8" t="s">
        <v>16</v>
      </c>
      <c r="E316" s="8" t="s">
        <v>224</v>
      </c>
      <c r="F316" s="8" t="s">
        <v>98</v>
      </c>
      <c r="G316" s="8" t="s">
        <v>499</v>
      </c>
      <c r="H316" s="8" t="s">
        <v>34</v>
      </c>
      <c r="I316" s="9" t="s">
        <v>183</v>
      </c>
      <c r="J316" s="5" t="s">
        <v>24</v>
      </c>
      <c r="K316" s="9"/>
    </row>
    <row r="317" spans="1:11" x14ac:dyDescent="0.25">
      <c r="A317" s="7">
        <v>45267</v>
      </c>
      <c r="B317" s="8" t="s">
        <v>609</v>
      </c>
      <c r="C317" s="8">
        <v>39</v>
      </c>
      <c r="D317" s="8" t="s">
        <v>120</v>
      </c>
      <c r="E317" s="8" t="s">
        <v>154</v>
      </c>
      <c r="F317" s="8" t="s">
        <v>610</v>
      </c>
      <c r="G317" s="8"/>
      <c r="H317" s="8" t="s">
        <v>34</v>
      </c>
      <c r="I317" s="9" t="s">
        <v>216</v>
      </c>
      <c r="J317" s="5" t="s">
        <v>24</v>
      </c>
      <c r="K317" s="9"/>
    </row>
    <row r="318" spans="1:11" x14ac:dyDescent="0.25">
      <c r="A318" s="7">
        <v>45271</v>
      </c>
      <c r="B318" s="8" t="s">
        <v>611</v>
      </c>
      <c r="C318" s="8">
        <v>77</v>
      </c>
      <c r="D318" s="8" t="s">
        <v>8</v>
      </c>
      <c r="E318" s="8" t="s">
        <v>612</v>
      </c>
      <c r="F318" s="8" t="s">
        <v>63</v>
      </c>
      <c r="G318" s="8" t="s">
        <v>159</v>
      </c>
      <c r="H318" s="5" t="s">
        <v>802</v>
      </c>
      <c r="I318" s="5" t="s">
        <v>825</v>
      </c>
      <c r="J318" s="9" t="s">
        <v>9</v>
      </c>
      <c r="K318" s="5"/>
    </row>
    <row r="319" spans="1:11" x14ac:dyDescent="0.25">
      <c r="A319" s="7">
        <v>45271</v>
      </c>
      <c r="B319" s="8" t="s">
        <v>613</v>
      </c>
      <c r="C319" s="8">
        <v>82</v>
      </c>
      <c r="D319" s="8" t="s">
        <v>8</v>
      </c>
      <c r="E319" s="8" t="s">
        <v>56</v>
      </c>
      <c r="F319" s="8" t="s">
        <v>63</v>
      </c>
      <c r="G319" s="8" t="s">
        <v>159</v>
      </c>
      <c r="H319" s="8" t="s">
        <v>620</v>
      </c>
      <c r="I319" s="5" t="s">
        <v>825</v>
      </c>
      <c r="J319" s="9" t="s">
        <v>9</v>
      </c>
      <c r="K319" s="9"/>
    </row>
    <row r="320" spans="1:11" x14ac:dyDescent="0.25">
      <c r="A320" s="7">
        <v>45271</v>
      </c>
      <c r="B320" s="8" t="s">
        <v>614</v>
      </c>
      <c r="C320" s="8">
        <v>75</v>
      </c>
      <c r="D320" s="8" t="s">
        <v>8</v>
      </c>
      <c r="E320" s="8" t="s">
        <v>615</v>
      </c>
      <c r="F320" s="8" t="s">
        <v>616</v>
      </c>
      <c r="G320" s="8" t="s">
        <v>159</v>
      </c>
      <c r="H320" s="5" t="s">
        <v>802</v>
      </c>
      <c r="I320" s="5" t="s">
        <v>825</v>
      </c>
      <c r="J320" s="9" t="s">
        <v>9</v>
      </c>
      <c r="K320" s="5"/>
    </row>
    <row r="321" spans="1:11" x14ac:dyDescent="0.25">
      <c r="A321" s="7">
        <v>45272</v>
      </c>
      <c r="B321" s="8" t="s">
        <v>617</v>
      </c>
      <c r="C321" s="8">
        <v>94</v>
      </c>
      <c r="D321" s="8" t="s">
        <v>246</v>
      </c>
      <c r="E321" s="8" t="s">
        <v>618</v>
      </c>
      <c r="F321" s="8" t="s">
        <v>619</v>
      </c>
      <c r="G321" s="8" t="s">
        <v>159</v>
      </c>
      <c r="H321" s="5" t="s">
        <v>802</v>
      </c>
      <c r="I321" s="5" t="s">
        <v>825</v>
      </c>
      <c r="J321" s="9" t="s">
        <v>9</v>
      </c>
      <c r="K321" s="9"/>
    </row>
    <row r="322" spans="1:11" x14ac:dyDescent="0.25">
      <c r="A322" s="7">
        <v>45272</v>
      </c>
      <c r="B322" s="8" t="s">
        <v>655</v>
      </c>
      <c r="C322" s="8">
        <v>66</v>
      </c>
      <c r="D322" s="5" t="s">
        <v>100</v>
      </c>
      <c r="E322" s="8" t="s">
        <v>656</v>
      </c>
      <c r="F322" s="8" t="s">
        <v>485</v>
      </c>
      <c r="G322" s="8" t="s">
        <v>33</v>
      </c>
      <c r="H322" s="5" t="s">
        <v>802</v>
      </c>
      <c r="I322" s="5" t="s">
        <v>825</v>
      </c>
      <c r="J322" s="9" t="s">
        <v>9</v>
      </c>
      <c r="K322" s="5"/>
    </row>
    <row r="323" spans="1:11" x14ac:dyDescent="0.25">
      <c r="A323" s="7">
        <v>45272</v>
      </c>
      <c r="B323" s="8" t="s">
        <v>600</v>
      </c>
      <c r="C323" s="8">
        <v>81</v>
      </c>
      <c r="D323" s="8" t="s">
        <v>8</v>
      </c>
      <c r="E323" s="8" t="s">
        <v>125</v>
      </c>
      <c r="F323" s="8" t="s">
        <v>429</v>
      </c>
      <c r="G323" s="8" t="s">
        <v>159</v>
      </c>
      <c r="H323" s="5" t="s">
        <v>802</v>
      </c>
      <c r="I323" s="5" t="s">
        <v>825</v>
      </c>
      <c r="J323" s="9" t="s">
        <v>9</v>
      </c>
      <c r="K323" s="9"/>
    </row>
    <row r="324" spans="1:11" x14ac:dyDescent="0.25">
      <c r="A324" s="7">
        <v>45272</v>
      </c>
      <c r="B324" s="8" t="s">
        <v>647</v>
      </c>
      <c r="C324" s="8"/>
      <c r="D324" s="5" t="s">
        <v>230</v>
      </c>
      <c r="E324" s="8" t="s">
        <v>621</v>
      </c>
      <c r="F324" s="8" t="s">
        <v>301</v>
      </c>
      <c r="G324" s="8" t="s">
        <v>159</v>
      </c>
      <c r="H324" s="5" t="s">
        <v>802</v>
      </c>
      <c r="I324" s="5" t="s">
        <v>825</v>
      </c>
      <c r="J324" s="9" t="s">
        <v>9</v>
      </c>
      <c r="K324" s="5"/>
    </row>
    <row r="325" spans="1:11" x14ac:dyDescent="0.25">
      <c r="A325" s="7">
        <v>45273</v>
      </c>
      <c r="B325" s="8" t="s">
        <v>622</v>
      </c>
      <c r="C325" s="8">
        <v>69</v>
      </c>
      <c r="D325" s="8" t="s">
        <v>246</v>
      </c>
      <c r="E325" s="8" t="s">
        <v>623</v>
      </c>
      <c r="F325" s="8" t="s">
        <v>624</v>
      </c>
      <c r="G325" s="8" t="s">
        <v>159</v>
      </c>
      <c r="H325" s="5" t="s">
        <v>802</v>
      </c>
      <c r="I325" s="5" t="s">
        <v>825</v>
      </c>
      <c r="J325" s="9" t="s">
        <v>9</v>
      </c>
      <c r="K325" s="9"/>
    </row>
    <row r="326" spans="1:11" x14ac:dyDescent="0.25">
      <c r="A326" s="7">
        <v>45273</v>
      </c>
      <c r="B326" s="8" t="s">
        <v>625</v>
      </c>
      <c r="C326" s="8">
        <v>80</v>
      </c>
      <c r="D326" s="8" t="s">
        <v>246</v>
      </c>
      <c r="E326" s="8" t="s">
        <v>125</v>
      </c>
      <c r="F326" s="8" t="s">
        <v>429</v>
      </c>
      <c r="G326" s="8" t="s">
        <v>159</v>
      </c>
      <c r="H326" s="5" t="s">
        <v>802</v>
      </c>
      <c r="I326" s="5" t="s">
        <v>825</v>
      </c>
      <c r="J326" s="9" t="s">
        <v>9</v>
      </c>
      <c r="K326" s="5"/>
    </row>
    <row r="327" spans="1:11" x14ac:dyDescent="0.25">
      <c r="A327" s="7">
        <v>45275</v>
      </c>
      <c r="B327" s="8" t="s">
        <v>629</v>
      </c>
      <c r="C327" s="8">
        <v>71</v>
      </c>
      <c r="D327" s="8" t="s">
        <v>246</v>
      </c>
      <c r="E327" s="8" t="s">
        <v>91</v>
      </c>
      <c r="F327" s="8" t="s">
        <v>128</v>
      </c>
      <c r="G327" s="8" t="s">
        <v>159</v>
      </c>
      <c r="H327" s="5" t="s">
        <v>802</v>
      </c>
      <c r="I327" s="5" t="s">
        <v>825</v>
      </c>
      <c r="J327" s="9" t="s">
        <v>9</v>
      </c>
      <c r="K327" s="9"/>
    </row>
    <row r="328" spans="1:11" x14ac:dyDescent="0.25">
      <c r="A328" s="7">
        <v>45275</v>
      </c>
      <c r="B328" s="8" t="s">
        <v>630</v>
      </c>
      <c r="C328" s="8">
        <v>22</v>
      </c>
      <c r="D328" s="8" t="s">
        <v>8</v>
      </c>
      <c r="E328" s="8" t="s">
        <v>112</v>
      </c>
      <c r="F328" s="8" t="s">
        <v>610</v>
      </c>
      <c r="G328" s="8"/>
      <c r="H328" s="8" t="s">
        <v>34</v>
      </c>
      <c r="I328" s="5" t="s">
        <v>632</v>
      </c>
      <c r="J328" s="5" t="s">
        <v>24</v>
      </c>
      <c r="K328" s="5"/>
    </row>
    <row r="329" spans="1:11" x14ac:dyDescent="0.25">
      <c r="A329" s="7">
        <v>45275</v>
      </c>
      <c r="B329" s="8" t="s">
        <v>631</v>
      </c>
      <c r="C329" s="8">
        <v>47</v>
      </c>
      <c r="D329" s="9" t="s">
        <v>17</v>
      </c>
      <c r="E329" s="8" t="s">
        <v>43</v>
      </c>
      <c r="F329" s="8" t="s">
        <v>357</v>
      </c>
      <c r="G329" s="8"/>
      <c r="H329" s="8" t="s">
        <v>34</v>
      </c>
      <c r="I329" s="5" t="s">
        <v>825</v>
      </c>
      <c r="J329" s="5" t="s">
        <v>24</v>
      </c>
      <c r="K329" s="9"/>
    </row>
    <row r="330" spans="1:11" x14ac:dyDescent="0.25">
      <c r="A330" s="7">
        <v>45275</v>
      </c>
      <c r="B330" s="8" t="s">
        <v>633</v>
      </c>
      <c r="C330" s="8">
        <v>63</v>
      </c>
      <c r="D330" s="8" t="s">
        <v>246</v>
      </c>
      <c r="E330" s="8" t="s">
        <v>56</v>
      </c>
      <c r="F330" s="8" t="s">
        <v>634</v>
      </c>
      <c r="G330" s="8" t="s">
        <v>539</v>
      </c>
      <c r="H330" s="5" t="s">
        <v>802</v>
      </c>
      <c r="I330" s="5" t="s">
        <v>825</v>
      </c>
      <c r="J330" s="9" t="s">
        <v>9</v>
      </c>
      <c r="K330" s="5"/>
    </row>
    <row r="331" spans="1:11" x14ac:dyDescent="0.25">
      <c r="A331" s="7">
        <v>45275</v>
      </c>
      <c r="B331" s="8" t="s">
        <v>626</v>
      </c>
      <c r="C331" s="8">
        <v>66</v>
      </c>
      <c r="D331" s="8" t="s">
        <v>246</v>
      </c>
      <c r="E331" s="8" t="s">
        <v>627</v>
      </c>
      <c r="F331" s="8" t="s">
        <v>628</v>
      </c>
      <c r="G331" s="8" t="s">
        <v>159</v>
      </c>
      <c r="H331" s="5" t="s">
        <v>802</v>
      </c>
      <c r="I331" s="5" t="s">
        <v>825</v>
      </c>
      <c r="J331" s="9" t="s">
        <v>9</v>
      </c>
      <c r="K331" s="9"/>
    </row>
    <row r="332" spans="1:11" x14ac:dyDescent="0.25">
      <c r="A332" s="7">
        <v>45275</v>
      </c>
      <c r="B332" s="8" t="s">
        <v>635</v>
      </c>
      <c r="C332" s="8">
        <v>65</v>
      </c>
      <c r="D332" s="9" t="s">
        <v>17</v>
      </c>
      <c r="E332" s="8" t="s">
        <v>43</v>
      </c>
      <c r="F332" s="8" t="s">
        <v>357</v>
      </c>
      <c r="G332" s="8" t="s">
        <v>159</v>
      </c>
      <c r="H332" s="5" t="s">
        <v>802</v>
      </c>
      <c r="I332" s="5" t="s">
        <v>825</v>
      </c>
      <c r="J332" s="9" t="s">
        <v>9</v>
      </c>
      <c r="K332" s="5"/>
    </row>
    <row r="333" spans="1:11" x14ac:dyDescent="0.25">
      <c r="A333" s="7">
        <v>45275</v>
      </c>
      <c r="B333" s="8" t="s">
        <v>636</v>
      </c>
      <c r="C333" s="8">
        <v>77</v>
      </c>
      <c r="D333" s="9" t="s">
        <v>17</v>
      </c>
      <c r="E333" s="8" t="s">
        <v>56</v>
      </c>
      <c r="F333" s="8" t="s">
        <v>634</v>
      </c>
      <c r="G333" s="8" t="s">
        <v>159</v>
      </c>
      <c r="H333" s="5" t="s">
        <v>802</v>
      </c>
      <c r="I333" s="5" t="s">
        <v>825</v>
      </c>
      <c r="J333" s="9" t="s">
        <v>9</v>
      </c>
      <c r="K333" s="9"/>
    </row>
    <row r="334" spans="1:11" x14ac:dyDescent="0.25">
      <c r="A334" s="7">
        <v>45275</v>
      </c>
      <c r="B334" s="8" t="s">
        <v>637</v>
      </c>
      <c r="C334" s="8">
        <v>68</v>
      </c>
      <c r="D334" s="9" t="s">
        <v>17</v>
      </c>
      <c r="E334" s="8" t="s">
        <v>43</v>
      </c>
      <c r="F334" s="8" t="s">
        <v>429</v>
      </c>
      <c r="G334" s="8" t="s">
        <v>539</v>
      </c>
      <c r="H334" s="5" t="s">
        <v>802</v>
      </c>
      <c r="I334" s="5" t="s">
        <v>825</v>
      </c>
      <c r="J334" s="9" t="s">
        <v>9</v>
      </c>
      <c r="K334" s="5"/>
    </row>
    <row r="335" spans="1:11" x14ac:dyDescent="0.25">
      <c r="A335" s="7">
        <v>45275</v>
      </c>
      <c r="B335" s="8" t="s">
        <v>638</v>
      </c>
      <c r="C335" s="8">
        <v>17</v>
      </c>
      <c r="D335" s="5" t="s">
        <v>214</v>
      </c>
      <c r="E335" s="8" t="s">
        <v>215</v>
      </c>
      <c r="F335" s="8" t="s">
        <v>639</v>
      </c>
      <c r="G335" s="8"/>
      <c r="H335" s="8" t="s">
        <v>34</v>
      </c>
      <c r="I335" s="9" t="s">
        <v>601</v>
      </c>
      <c r="J335" s="5" t="s">
        <v>24</v>
      </c>
      <c r="K335" s="9"/>
    </row>
    <row r="336" spans="1:11" x14ac:dyDescent="0.25">
      <c r="A336" s="7">
        <v>45275</v>
      </c>
      <c r="B336" s="8" t="s">
        <v>640</v>
      </c>
      <c r="C336" s="8">
        <v>17</v>
      </c>
      <c r="D336" s="5" t="s">
        <v>214</v>
      </c>
      <c r="E336" s="8" t="s">
        <v>215</v>
      </c>
      <c r="F336" s="8"/>
      <c r="G336" s="8"/>
      <c r="H336" s="8" t="s">
        <v>34</v>
      </c>
      <c r="I336" s="5" t="s">
        <v>601</v>
      </c>
      <c r="J336" s="5" t="s">
        <v>24</v>
      </c>
      <c r="K336" s="5"/>
    </row>
    <row r="337" spans="1:11" x14ac:dyDescent="0.25">
      <c r="A337" s="7">
        <v>45275</v>
      </c>
      <c r="B337" s="8" t="s">
        <v>641</v>
      </c>
      <c r="C337" s="8">
        <v>28</v>
      </c>
      <c r="D337" s="8"/>
      <c r="E337" s="8" t="s">
        <v>112</v>
      </c>
      <c r="F337" s="8" t="s">
        <v>187</v>
      </c>
      <c r="G337" s="8"/>
      <c r="H337" s="8" t="s">
        <v>34</v>
      </c>
      <c r="I337" s="5" t="s">
        <v>825</v>
      </c>
      <c r="J337" s="5" t="s">
        <v>24</v>
      </c>
      <c r="K337" s="9"/>
    </row>
    <row r="338" spans="1:11" x14ac:dyDescent="0.25">
      <c r="A338" s="7">
        <v>45275</v>
      </c>
      <c r="B338" s="8" t="s">
        <v>642</v>
      </c>
      <c r="C338" s="8">
        <v>25</v>
      </c>
      <c r="D338" s="8"/>
      <c r="E338" s="8" t="s">
        <v>112</v>
      </c>
      <c r="F338" s="8" t="s">
        <v>187</v>
      </c>
      <c r="G338" s="8"/>
      <c r="H338" s="8" t="s">
        <v>34</v>
      </c>
      <c r="I338" s="5" t="s">
        <v>825</v>
      </c>
      <c r="J338" s="5" t="s">
        <v>24</v>
      </c>
      <c r="K338" s="5"/>
    </row>
    <row r="339" spans="1:11" x14ac:dyDescent="0.25">
      <c r="A339" s="7">
        <v>45275</v>
      </c>
      <c r="B339" s="8" t="s">
        <v>645</v>
      </c>
      <c r="C339" s="8">
        <v>60</v>
      </c>
      <c r="D339" s="8" t="s">
        <v>163</v>
      </c>
      <c r="E339" s="8" t="s">
        <v>646</v>
      </c>
      <c r="F339" s="8" t="s">
        <v>357</v>
      </c>
      <c r="G339" s="8"/>
      <c r="H339" s="8" t="s">
        <v>34</v>
      </c>
      <c r="I339" s="5" t="s">
        <v>825</v>
      </c>
      <c r="J339" s="5" t="s">
        <v>24</v>
      </c>
      <c r="K339" s="9"/>
    </row>
    <row r="340" spans="1:11" x14ac:dyDescent="0.25">
      <c r="A340" s="7">
        <v>45278</v>
      </c>
      <c r="B340" s="8" t="s">
        <v>643</v>
      </c>
      <c r="C340" s="8">
        <v>60</v>
      </c>
      <c r="D340" s="8" t="s">
        <v>163</v>
      </c>
      <c r="E340" s="8" t="s">
        <v>145</v>
      </c>
      <c r="F340" s="8" t="s">
        <v>644</v>
      </c>
      <c r="G340" s="8"/>
      <c r="H340" s="8" t="s">
        <v>34</v>
      </c>
      <c r="I340" s="5" t="s">
        <v>825</v>
      </c>
      <c r="J340" s="5" t="s">
        <v>24</v>
      </c>
      <c r="K340" s="5"/>
    </row>
    <row r="341" spans="1:11" x14ac:dyDescent="0.25">
      <c r="A341" s="7">
        <v>45280</v>
      </c>
      <c r="B341" s="8" t="s">
        <v>648</v>
      </c>
      <c r="C341" s="8">
        <v>60</v>
      </c>
      <c r="D341" s="8" t="s">
        <v>8</v>
      </c>
      <c r="E341" s="8" t="s">
        <v>56</v>
      </c>
      <c r="F341" s="8" t="s">
        <v>634</v>
      </c>
      <c r="G341" s="8" t="s">
        <v>159</v>
      </c>
      <c r="H341" s="5" t="s">
        <v>802</v>
      </c>
      <c r="I341" s="5" t="s">
        <v>825</v>
      </c>
      <c r="J341" s="9" t="s">
        <v>9</v>
      </c>
      <c r="K341" s="9"/>
    </row>
    <row r="342" spans="1:11" x14ac:dyDescent="0.25">
      <c r="A342" s="7">
        <v>45281</v>
      </c>
      <c r="B342" s="8" t="s">
        <v>649</v>
      </c>
      <c r="C342" s="8">
        <v>16</v>
      </c>
      <c r="D342" s="8" t="s">
        <v>120</v>
      </c>
      <c r="E342" s="8" t="s">
        <v>112</v>
      </c>
      <c r="F342" s="8" t="s">
        <v>650</v>
      </c>
      <c r="G342" s="8"/>
      <c r="H342" s="8" t="s">
        <v>34</v>
      </c>
      <c r="I342" s="5" t="s">
        <v>601</v>
      </c>
      <c r="J342" s="5" t="s">
        <v>24</v>
      </c>
      <c r="K342" s="5"/>
    </row>
    <row r="343" spans="1:11" x14ac:dyDescent="0.25">
      <c r="A343" s="7">
        <v>45281</v>
      </c>
      <c r="B343" s="8" t="s">
        <v>651</v>
      </c>
      <c r="C343" s="8">
        <v>28</v>
      </c>
      <c r="D343" s="8" t="s">
        <v>120</v>
      </c>
      <c r="E343" s="8" t="s">
        <v>112</v>
      </c>
      <c r="F343" s="8" t="s">
        <v>650</v>
      </c>
      <c r="G343" s="8"/>
      <c r="H343" s="8" t="s">
        <v>34</v>
      </c>
      <c r="I343" s="9" t="s">
        <v>601</v>
      </c>
      <c r="J343" s="5" t="s">
        <v>24</v>
      </c>
      <c r="K343" s="9"/>
    </row>
    <row r="344" spans="1:11" x14ac:dyDescent="0.25">
      <c r="A344" s="4">
        <v>45282</v>
      </c>
      <c r="B344" s="5" t="s">
        <v>652</v>
      </c>
      <c r="C344" s="5">
        <v>21</v>
      </c>
      <c r="D344" s="9" t="s">
        <v>1551</v>
      </c>
      <c r="E344" s="8" t="s">
        <v>112</v>
      </c>
      <c r="F344" s="5" t="s">
        <v>650</v>
      </c>
      <c r="G344" s="5"/>
      <c r="H344" s="5" t="s">
        <v>802</v>
      </c>
      <c r="I344" s="5" t="s">
        <v>332</v>
      </c>
      <c r="J344" s="5" t="s">
        <v>24</v>
      </c>
      <c r="K344" s="5"/>
    </row>
    <row r="345" spans="1:11" x14ac:dyDescent="0.25">
      <c r="A345" s="10">
        <v>45286</v>
      </c>
      <c r="B345" s="8" t="s">
        <v>653</v>
      </c>
      <c r="C345" s="9">
        <v>68</v>
      </c>
      <c r="D345" s="8" t="s">
        <v>246</v>
      </c>
      <c r="E345" s="9" t="s">
        <v>623</v>
      </c>
      <c r="F345" s="9" t="s">
        <v>654</v>
      </c>
      <c r="G345" s="9" t="s">
        <v>33</v>
      </c>
      <c r="H345" s="5" t="s">
        <v>802</v>
      </c>
      <c r="I345" s="5" t="s">
        <v>825</v>
      </c>
      <c r="J345" s="9" t="s">
        <v>9</v>
      </c>
      <c r="K345" s="9"/>
    </row>
    <row r="346" spans="1:11" x14ac:dyDescent="0.25">
      <c r="A346" s="4">
        <v>45286</v>
      </c>
      <c r="B346" s="8" t="s">
        <v>657</v>
      </c>
      <c r="C346" s="5">
        <v>67</v>
      </c>
      <c r="D346" s="5"/>
      <c r="E346" s="5" t="s">
        <v>56</v>
      </c>
      <c r="F346" s="5" t="s">
        <v>115</v>
      </c>
      <c r="G346" s="5" t="s">
        <v>539</v>
      </c>
      <c r="H346" s="5" t="s">
        <v>802</v>
      </c>
      <c r="I346" s="5" t="s">
        <v>658</v>
      </c>
      <c r="J346" s="9" t="s">
        <v>9</v>
      </c>
      <c r="K346" s="5"/>
    </row>
    <row r="347" spans="1:11" x14ac:dyDescent="0.25">
      <c r="A347" s="10">
        <v>45293</v>
      </c>
      <c r="B347" s="9" t="s">
        <v>659</v>
      </c>
      <c r="C347" s="9">
        <v>24</v>
      </c>
      <c r="D347" s="9" t="s">
        <v>111</v>
      </c>
      <c r="E347" s="9" t="s">
        <v>685</v>
      </c>
      <c r="F347" s="9" t="s">
        <v>139</v>
      </c>
      <c r="G347" s="9"/>
      <c r="H347" s="9" t="s">
        <v>59</v>
      </c>
      <c r="I347" s="9" t="s">
        <v>660</v>
      </c>
      <c r="J347" s="5" t="s">
        <v>24</v>
      </c>
      <c r="K347" s="9"/>
    </row>
    <row r="348" spans="1:11" x14ac:dyDescent="0.25">
      <c r="A348" s="4">
        <v>45293</v>
      </c>
      <c r="B348" s="5" t="s">
        <v>581</v>
      </c>
      <c r="C348" s="5">
        <v>66</v>
      </c>
      <c r="D348" s="5" t="s">
        <v>214</v>
      </c>
      <c r="E348" s="5" t="s">
        <v>687</v>
      </c>
      <c r="F348" s="5" t="s">
        <v>662</v>
      </c>
      <c r="G348" s="5" t="s">
        <v>539</v>
      </c>
      <c r="H348" s="5" t="s">
        <v>802</v>
      </c>
      <c r="I348" s="5" t="s">
        <v>601</v>
      </c>
      <c r="J348" s="9" t="s">
        <v>9</v>
      </c>
      <c r="K348" s="5"/>
    </row>
    <row r="349" spans="1:11" x14ac:dyDescent="0.25">
      <c r="A349" s="10">
        <v>45293</v>
      </c>
      <c r="B349" s="9" t="s">
        <v>663</v>
      </c>
      <c r="C349" s="9">
        <v>62</v>
      </c>
      <c r="D349" s="8" t="s">
        <v>8</v>
      </c>
      <c r="E349" s="9" t="s">
        <v>56</v>
      </c>
      <c r="F349" s="9" t="s">
        <v>115</v>
      </c>
      <c r="G349" s="9" t="s">
        <v>33</v>
      </c>
      <c r="H349" s="5" t="s">
        <v>802</v>
      </c>
      <c r="I349" s="5" t="s">
        <v>825</v>
      </c>
      <c r="J349" s="9" t="s">
        <v>9</v>
      </c>
      <c r="K349" s="9"/>
    </row>
    <row r="350" spans="1:11" x14ac:dyDescent="0.25">
      <c r="A350" s="4">
        <v>45295</v>
      </c>
      <c r="B350" s="5" t="s">
        <v>668</v>
      </c>
      <c r="C350" s="5">
        <v>50</v>
      </c>
      <c r="D350" s="9" t="s">
        <v>153</v>
      </c>
      <c r="E350" s="5" t="s">
        <v>292</v>
      </c>
      <c r="F350" s="5" t="s">
        <v>669</v>
      </c>
      <c r="G350" s="5"/>
      <c r="H350" s="5" t="s">
        <v>59</v>
      </c>
      <c r="I350" s="5" t="s">
        <v>825</v>
      </c>
      <c r="J350" s="5" t="s">
        <v>24</v>
      </c>
      <c r="K350" s="5"/>
    </row>
    <row r="351" spans="1:11" x14ac:dyDescent="0.25">
      <c r="A351" s="10">
        <v>45295</v>
      </c>
      <c r="B351" s="9" t="s">
        <v>670</v>
      </c>
      <c r="C351" s="9">
        <v>39</v>
      </c>
      <c r="D351" s="8" t="s">
        <v>8</v>
      </c>
      <c r="E351" s="9" t="s">
        <v>672</v>
      </c>
      <c r="F351" s="9" t="s">
        <v>669</v>
      </c>
      <c r="G351" s="9"/>
      <c r="H351" s="9" t="s">
        <v>59</v>
      </c>
      <c r="I351" s="9" t="s">
        <v>601</v>
      </c>
      <c r="J351" s="5" t="s">
        <v>24</v>
      </c>
      <c r="K351" s="9"/>
    </row>
    <row r="352" spans="1:11" x14ac:dyDescent="0.25">
      <c r="A352" s="4">
        <v>45295</v>
      </c>
      <c r="B352" s="5" t="s">
        <v>670</v>
      </c>
      <c r="C352" s="5">
        <v>39</v>
      </c>
      <c r="D352" s="8" t="s">
        <v>8</v>
      </c>
      <c r="E352" s="5" t="s">
        <v>671</v>
      </c>
      <c r="F352" s="5" t="s">
        <v>669</v>
      </c>
      <c r="G352" s="5"/>
      <c r="H352" s="5" t="s">
        <v>59</v>
      </c>
      <c r="I352" s="5" t="s">
        <v>601</v>
      </c>
      <c r="J352" s="5" t="s">
        <v>24</v>
      </c>
      <c r="K352" s="5"/>
    </row>
    <row r="353" spans="1:11" x14ac:dyDescent="0.25">
      <c r="A353" s="10">
        <v>45295</v>
      </c>
      <c r="B353" s="9" t="s">
        <v>673</v>
      </c>
      <c r="C353" s="9">
        <v>72</v>
      </c>
      <c r="D353" s="9" t="s">
        <v>674</v>
      </c>
      <c r="E353" s="9" t="s">
        <v>376</v>
      </c>
      <c r="F353" s="9" t="s">
        <v>662</v>
      </c>
      <c r="G353" s="9"/>
      <c r="H353" s="9" t="s">
        <v>59</v>
      </c>
      <c r="I353" s="5" t="s">
        <v>825</v>
      </c>
      <c r="J353" s="5" t="s">
        <v>24</v>
      </c>
      <c r="K353" s="9"/>
    </row>
    <row r="354" spans="1:11" x14ac:dyDescent="0.25">
      <c r="A354" s="4">
        <v>45295</v>
      </c>
      <c r="B354" s="5" t="s">
        <v>675</v>
      </c>
      <c r="C354" s="5">
        <v>78</v>
      </c>
      <c r="D354" s="8" t="s">
        <v>246</v>
      </c>
      <c r="E354" s="5" t="s">
        <v>676</v>
      </c>
      <c r="F354" s="5" t="s">
        <v>677</v>
      </c>
      <c r="G354" s="5" t="s">
        <v>33</v>
      </c>
      <c r="H354" s="5" t="s">
        <v>802</v>
      </c>
      <c r="I354" s="5" t="s">
        <v>825</v>
      </c>
      <c r="J354" s="9" t="s">
        <v>9</v>
      </c>
      <c r="K354" s="5"/>
    </row>
    <row r="355" spans="1:11" x14ac:dyDescent="0.25">
      <c r="A355" s="10">
        <v>45295</v>
      </c>
      <c r="B355" s="9" t="s">
        <v>678</v>
      </c>
      <c r="C355" s="9">
        <v>64</v>
      </c>
      <c r="D355" s="9" t="s">
        <v>17</v>
      </c>
      <c r="E355" s="9" t="s">
        <v>56</v>
      </c>
      <c r="F355" s="9" t="s">
        <v>634</v>
      </c>
      <c r="G355" s="9" t="s">
        <v>539</v>
      </c>
      <c r="H355" s="5" t="s">
        <v>802</v>
      </c>
      <c r="I355" s="5" t="s">
        <v>825</v>
      </c>
      <c r="J355" s="9" t="s">
        <v>9</v>
      </c>
      <c r="K355" s="9"/>
    </row>
    <row r="356" spans="1:11" x14ac:dyDescent="0.25">
      <c r="A356" s="4">
        <v>45296</v>
      </c>
      <c r="B356" s="5" t="s">
        <v>682</v>
      </c>
      <c r="C356" s="5">
        <v>65</v>
      </c>
      <c r="D356" s="9" t="s">
        <v>17</v>
      </c>
      <c r="E356" s="5" t="s">
        <v>56</v>
      </c>
      <c r="F356" s="5" t="s">
        <v>634</v>
      </c>
      <c r="G356" s="5" t="s">
        <v>539</v>
      </c>
      <c r="H356" s="5" t="s">
        <v>802</v>
      </c>
      <c r="I356" s="5" t="s">
        <v>825</v>
      </c>
      <c r="J356" s="9" t="s">
        <v>9</v>
      </c>
      <c r="K356" s="5"/>
    </row>
    <row r="357" spans="1:11" x14ac:dyDescent="0.25">
      <c r="A357" s="7">
        <v>45299</v>
      </c>
      <c r="B357" s="8" t="s">
        <v>683</v>
      </c>
      <c r="C357" s="8">
        <v>88</v>
      </c>
      <c r="D357" s="8" t="s">
        <v>246</v>
      </c>
      <c r="E357" s="8" t="s">
        <v>125</v>
      </c>
      <c r="F357" s="8" t="s">
        <v>39</v>
      </c>
      <c r="G357" s="8" t="s">
        <v>33</v>
      </c>
      <c r="H357" s="5" t="s">
        <v>802</v>
      </c>
      <c r="I357" s="5" t="s">
        <v>825</v>
      </c>
      <c r="J357" s="9" t="s">
        <v>9</v>
      </c>
      <c r="K357" s="9"/>
    </row>
    <row r="358" spans="1:11" x14ac:dyDescent="0.25">
      <c r="A358" s="4">
        <v>45299</v>
      </c>
      <c r="B358" s="5" t="s">
        <v>204</v>
      </c>
      <c r="C358" s="5">
        <v>46</v>
      </c>
      <c r="D358" s="8" t="s">
        <v>163</v>
      </c>
      <c r="E358" s="5" t="s">
        <v>410</v>
      </c>
      <c r="F358" s="5" t="s">
        <v>684</v>
      </c>
      <c r="G358" s="5"/>
      <c r="H358" s="5" t="s">
        <v>59</v>
      </c>
      <c r="I358" s="5" t="s">
        <v>825</v>
      </c>
      <c r="J358" s="5" t="s">
        <v>24</v>
      </c>
      <c r="K358" s="5"/>
    </row>
    <row r="359" spans="1:11" x14ac:dyDescent="0.25">
      <c r="A359" s="10">
        <v>45299</v>
      </c>
      <c r="B359" s="9" t="s">
        <v>686</v>
      </c>
      <c r="C359" s="9">
        <v>65</v>
      </c>
      <c r="D359" s="8" t="s">
        <v>120</v>
      </c>
      <c r="E359" s="9" t="s">
        <v>78</v>
      </c>
      <c r="F359" s="9" t="s">
        <v>634</v>
      </c>
      <c r="G359" s="9" t="s">
        <v>539</v>
      </c>
      <c r="H359" s="5" t="s">
        <v>802</v>
      </c>
      <c r="I359" s="5" t="s">
        <v>825</v>
      </c>
      <c r="J359" s="9" t="s">
        <v>9</v>
      </c>
      <c r="K359" s="9"/>
    </row>
    <row r="360" spans="1:11" x14ac:dyDescent="0.25">
      <c r="A360" s="4">
        <v>45301</v>
      </c>
      <c r="B360" s="5" t="s">
        <v>688</v>
      </c>
      <c r="C360" s="5">
        <v>86</v>
      </c>
      <c r="D360" s="8" t="s">
        <v>246</v>
      </c>
      <c r="E360" s="5" t="s">
        <v>125</v>
      </c>
      <c r="F360" s="5" t="s">
        <v>39</v>
      </c>
      <c r="G360" s="5" t="s">
        <v>33</v>
      </c>
      <c r="H360" s="5" t="s">
        <v>802</v>
      </c>
      <c r="I360" s="5" t="s">
        <v>825</v>
      </c>
      <c r="J360" s="9" t="s">
        <v>9</v>
      </c>
      <c r="K360" s="5"/>
    </row>
    <row r="361" spans="1:11" x14ac:dyDescent="0.25">
      <c r="A361" s="10">
        <v>45302</v>
      </c>
      <c r="B361" s="9" t="s">
        <v>689</v>
      </c>
      <c r="C361" s="9">
        <v>40</v>
      </c>
      <c r="D361" s="9" t="s">
        <v>1678</v>
      </c>
      <c r="E361" s="9" t="s">
        <v>690</v>
      </c>
      <c r="F361" s="9" t="s">
        <v>693</v>
      </c>
      <c r="G361" s="9"/>
      <c r="H361" s="5" t="s">
        <v>802</v>
      </c>
      <c r="I361" s="5" t="s">
        <v>825</v>
      </c>
      <c r="J361" s="5" t="s">
        <v>24</v>
      </c>
      <c r="K361" s="9"/>
    </row>
    <row r="362" spans="1:11" x14ac:dyDescent="0.25">
      <c r="A362" s="4">
        <v>45307</v>
      </c>
      <c r="B362" s="5" t="s">
        <v>691</v>
      </c>
      <c r="C362" s="5">
        <v>63</v>
      </c>
      <c r="D362" s="5" t="s">
        <v>692</v>
      </c>
      <c r="E362" s="5" t="s">
        <v>300</v>
      </c>
      <c r="F362" s="5" t="s">
        <v>694</v>
      </c>
      <c r="G362" s="5"/>
      <c r="H362" s="5" t="s">
        <v>59</v>
      </c>
      <c r="I362" s="5" t="s">
        <v>825</v>
      </c>
      <c r="J362" s="5" t="s">
        <v>24</v>
      </c>
      <c r="K362" s="5"/>
    </row>
    <row r="363" spans="1:11" x14ac:dyDescent="0.25">
      <c r="A363" s="10">
        <v>45307</v>
      </c>
      <c r="B363" s="9" t="s">
        <v>695</v>
      </c>
      <c r="C363" s="9">
        <v>65</v>
      </c>
      <c r="D363" s="9" t="s">
        <v>111</v>
      </c>
      <c r="E363" s="9" t="s">
        <v>696</v>
      </c>
      <c r="F363" s="9" t="s">
        <v>317</v>
      </c>
      <c r="G363" s="9" t="s">
        <v>539</v>
      </c>
      <c r="H363" s="5" t="s">
        <v>802</v>
      </c>
      <c r="I363" s="5" t="s">
        <v>825</v>
      </c>
      <c r="J363" s="9" t="s">
        <v>9</v>
      </c>
      <c r="K363" s="9"/>
    </row>
    <row r="364" spans="1:11" x14ac:dyDescent="0.25">
      <c r="A364" s="4">
        <v>45309</v>
      </c>
      <c r="B364" s="5" t="s">
        <v>697</v>
      </c>
      <c r="C364" s="5">
        <v>60</v>
      </c>
      <c r="D364" s="5"/>
      <c r="E364" s="5" t="s">
        <v>78</v>
      </c>
      <c r="F364" s="5" t="s">
        <v>210</v>
      </c>
      <c r="G364" s="5"/>
      <c r="H364" s="5" t="s">
        <v>802</v>
      </c>
      <c r="I364" s="5" t="s">
        <v>825</v>
      </c>
      <c r="J364" s="5" t="s">
        <v>24</v>
      </c>
      <c r="K364" s="5"/>
    </row>
    <row r="365" spans="1:11" x14ac:dyDescent="0.25">
      <c r="A365" s="10">
        <v>45309</v>
      </c>
      <c r="B365" s="9" t="s">
        <v>698</v>
      </c>
      <c r="C365" s="9">
        <v>33</v>
      </c>
      <c r="D365" s="8" t="s">
        <v>120</v>
      </c>
      <c r="E365" s="9" t="s">
        <v>112</v>
      </c>
      <c r="F365" s="9" t="s">
        <v>699</v>
      </c>
      <c r="G365" s="9"/>
      <c r="H365" s="9" t="s">
        <v>59</v>
      </c>
      <c r="I365" s="5" t="s">
        <v>825</v>
      </c>
      <c r="J365" s="5" t="s">
        <v>24</v>
      </c>
      <c r="K365" s="9"/>
    </row>
    <row r="366" spans="1:11" x14ac:dyDescent="0.25">
      <c r="A366" s="4">
        <v>45309</v>
      </c>
      <c r="B366" s="5" t="s">
        <v>700</v>
      </c>
      <c r="C366" s="5">
        <v>59</v>
      </c>
      <c r="D366" s="5" t="s">
        <v>674</v>
      </c>
      <c r="E366" s="5" t="s">
        <v>701</v>
      </c>
      <c r="F366" s="5" t="s">
        <v>662</v>
      </c>
      <c r="G366" s="5"/>
      <c r="H366" s="5" t="s">
        <v>802</v>
      </c>
      <c r="I366" s="8" t="s">
        <v>417</v>
      </c>
      <c r="J366" s="5" t="s">
        <v>24</v>
      </c>
      <c r="K366" s="5" t="s">
        <v>706</v>
      </c>
    </row>
    <row r="367" spans="1:11" x14ac:dyDescent="0.25">
      <c r="A367" s="10">
        <v>45309</v>
      </c>
      <c r="B367" s="9" t="s">
        <v>702</v>
      </c>
      <c r="C367" s="9">
        <v>74</v>
      </c>
      <c r="D367" s="8" t="s">
        <v>120</v>
      </c>
      <c r="E367" s="9" t="s">
        <v>56</v>
      </c>
      <c r="F367" s="9" t="s">
        <v>634</v>
      </c>
      <c r="G367" s="9" t="s">
        <v>33</v>
      </c>
      <c r="H367" s="5" t="s">
        <v>802</v>
      </c>
      <c r="I367" s="5" t="s">
        <v>825</v>
      </c>
      <c r="J367" s="9" t="s">
        <v>9</v>
      </c>
      <c r="K367" s="9" t="s">
        <v>705</v>
      </c>
    </row>
    <row r="368" spans="1:11" x14ac:dyDescent="0.25">
      <c r="A368" s="4">
        <v>45309</v>
      </c>
      <c r="B368" s="5" t="s">
        <v>703</v>
      </c>
      <c r="C368" s="5">
        <v>69</v>
      </c>
      <c r="D368" s="9" t="s">
        <v>17</v>
      </c>
      <c r="E368" s="5" t="s">
        <v>56</v>
      </c>
      <c r="F368" s="5" t="s">
        <v>634</v>
      </c>
      <c r="G368" s="5" t="s">
        <v>539</v>
      </c>
      <c r="H368" s="5" t="s">
        <v>802</v>
      </c>
      <c r="I368" s="5" t="s">
        <v>825</v>
      </c>
      <c r="J368" s="9" t="s">
        <v>9</v>
      </c>
      <c r="K368" s="5" t="s">
        <v>704</v>
      </c>
    </row>
    <row r="369" spans="1:11" x14ac:dyDescent="0.25">
      <c r="A369" s="10">
        <v>45313</v>
      </c>
      <c r="B369" s="9" t="s">
        <v>707</v>
      </c>
      <c r="C369" s="9">
        <v>61</v>
      </c>
      <c r="D369" s="8" t="s">
        <v>8</v>
      </c>
      <c r="E369" s="9" t="s">
        <v>292</v>
      </c>
      <c r="F369" s="9" t="s">
        <v>357</v>
      </c>
      <c r="G369" s="9" t="s">
        <v>539</v>
      </c>
      <c r="H369" s="5" t="s">
        <v>802</v>
      </c>
      <c r="I369" s="5" t="s">
        <v>825</v>
      </c>
      <c r="J369" s="9" t="s">
        <v>9</v>
      </c>
      <c r="K369" s="9"/>
    </row>
    <row r="370" spans="1:11" x14ac:dyDescent="0.25">
      <c r="A370" s="4">
        <v>45314</v>
      </c>
      <c r="B370" s="5" t="s">
        <v>708</v>
      </c>
      <c r="C370" s="5">
        <v>35</v>
      </c>
      <c r="D370" s="9" t="s">
        <v>111</v>
      </c>
      <c r="E370" s="5" t="s">
        <v>709</v>
      </c>
      <c r="F370" s="5" t="s">
        <v>317</v>
      </c>
      <c r="G370" s="5"/>
      <c r="H370" s="5" t="s">
        <v>59</v>
      </c>
      <c r="I370" s="8" t="s">
        <v>310</v>
      </c>
      <c r="J370" s="5" t="s">
        <v>24</v>
      </c>
      <c r="K370" s="5"/>
    </row>
    <row r="371" spans="1:11" x14ac:dyDescent="0.25">
      <c r="A371" s="10">
        <v>45314</v>
      </c>
      <c r="B371" s="9" t="s">
        <v>710</v>
      </c>
      <c r="C371" s="9">
        <v>35</v>
      </c>
      <c r="D371" s="5" t="s">
        <v>100</v>
      </c>
      <c r="E371" s="9" t="s">
        <v>711</v>
      </c>
      <c r="F371" s="9" t="s">
        <v>712</v>
      </c>
      <c r="G371" s="9"/>
      <c r="H371" s="5" t="s">
        <v>802</v>
      </c>
      <c r="I371" s="5" t="s">
        <v>825</v>
      </c>
      <c r="J371" s="5" t="s">
        <v>24</v>
      </c>
      <c r="K371" s="9"/>
    </row>
    <row r="372" spans="1:11" x14ac:dyDescent="0.25">
      <c r="A372" s="4">
        <v>45316</v>
      </c>
      <c r="B372" s="5" t="s">
        <v>713</v>
      </c>
      <c r="C372" s="5">
        <v>90</v>
      </c>
      <c r="D372" s="8" t="s">
        <v>163</v>
      </c>
      <c r="E372" s="5" t="s">
        <v>714</v>
      </c>
      <c r="F372" s="5" t="s">
        <v>715</v>
      </c>
      <c r="G372" s="5" t="s">
        <v>33</v>
      </c>
      <c r="H372" s="5" t="s">
        <v>802</v>
      </c>
      <c r="I372" s="5" t="s">
        <v>825</v>
      </c>
      <c r="J372" s="9" t="s">
        <v>9</v>
      </c>
      <c r="K372" s="5"/>
    </row>
    <row r="373" spans="1:11" x14ac:dyDescent="0.25">
      <c r="A373" s="10">
        <v>45316</v>
      </c>
      <c r="B373" s="9" t="s">
        <v>716</v>
      </c>
      <c r="C373" s="9">
        <v>81</v>
      </c>
      <c r="D373" s="9"/>
      <c r="E373" s="9" t="s">
        <v>717</v>
      </c>
      <c r="F373" s="9" t="s">
        <v>718</v>
      </c>
      <c r="G373" s="9" t="s">
        <v>33</v>
      </c>
      <c r="H373" s="5" t="s">
        <v>802</v>
      </c>
      <c r="I373" s="5" t="s">
        <v>825</v>
      </c>
      <c r="J373" s="9" t="s">
        <v>9</v>
      </c>
      <c r="K373" s="9"/>
    </row>
    <row r="374" spans="1:11" x14ac:dyDescent="0.25">
      <c r="A374" s="4">
        <v>45317</v>
      </c>
      <c r="B374" s="5" t="s">
        <v>719</v>
      </c>
      <c r="C374" s="5">
        <v>75</v>
      </c>
      <c r="D374" s="8" t="s">
        <v>8</v>
      </c>
      <c r="E374" s="5" t="s">
        <v>300</v>
      </c>
      <c r="F374" s="5" t="s">
        <v>720</v>
      </c>
      <c r="G374" s="5" t="s">
        <v>33</v>
      </c>
      <c r="H374" s="5" t="s">
        <v>802</v>
      </c>
      <c r="I374" s="5" t="s">
        <v>825</v>
      </c>
      <c r="J374" s="9" t="s">
        <v>9</v>
      </c>
      <c r="K374" s="5"/>
    </row>
    <row r="375" spans="1:11" x14ac:dyDescent="0.25">
      <c r="A375" s="10">
        <v>45317</v>
      </c>
      <c r="B375" s="9" t="s">
        <v>721</v>
      </c>
      <c r="C375" s="9">
        <v>69</v>
      </c>
      <c r="D375" s="9" t="s">
        <v>17</v>
      </c>
      <c r="E375" s="9" t="s">
        <v>722</v>
      </c>
      <c r="F375" s="9" t="s">
        <v>723</v>
      </c>
      <c r="G375" s="9" t="s">
        <v>33</v>
      </c>
      <c r="H375" s="5" t="s">
        <v>802</v>
      </c>
      <c r="I375" s="5" t="s">
        <v>825</v>
      </c>
      <c r="J375" s="9" t="s">
        <v>9</v>
      </c>
      <c r="K375" s="9"/>
    </row>
    <row r="376" spans="1:11" x14ac:dyDescent="0.25">
      <c r="A376" s="4">
        <v>45322</v>
      </c>
      <c r="B376" s="5" t="s">
        <v>724</v>
      </c>
      <c r="C376" s="5">
        <v>94</v>
      </c>
      <c r="D376" s="8" t="s">
        <v>8</v>
      </c>
      <c r="E376" s="5" t="s">
        <v>717</v>
      </c>
      <c r="F376" s="5" t="s">
        <v>725</v>
      </c>
      <c r="G376" s="5" t="s">
        <v>33</v>
      </c>
      <c r="H376" s="5" t="s">
        <v>802</v>
      </c>
      <c r="I376" s="5" t="s">
        <v>825</v>
      </c>
      <c r="J376" s="9" t="s">
        <v>9</v>
      </c>
      <c r="K376" s="5"/>
    </row>
    <row r="377" spans="1:11" x14ac:dyDescent="0.25">
      <c r="A377" s="10">
        <v>45322</v>
      </c>
      <c r="B377" s="9" t="s">
        <v>726</v>
      </c>
      <c r="C377" s="9">
        <v>72</v>
      </c>
      <c r="D377" s="9" t="s">
        <v>727</v>
      </c>
      <c r="E377" s="9" t="s">
        <v>717</v>
      </c>
      <c r="F377" s="9" t="s">
        <v>720</v>
      </c>
      <c r="G377" s="9" t="s">
        <v>33</v>
      </c>
      <c r="H377" s="5" t="s">
        <v>802</v>
      </c>
      <c r="I377" s="5" t="s">
        <v>825</v>
      </c>
      <c r="J377" s="9" t="s">
        <v>9</v>
      </c>
      <c r="K377" s="9"/>
    </row>
    <row r="378" spans="1:11" x14ac:dyDescent="0.25">
      <c r="A378" s="4">
        <v>45323</v>
      </c>
      <c r="B378" s="5" t="s">
        <v>728</v>
      </c>
      <c r="C378" s="5">
        <v>78</v>
      </c>
      <c r="D378" s="8" t="s">
        <v>8</v>
      </c>
      <c r="E378" s="5" t="s">
        <v>717</v>
      </c>
      <c r="F378" s="5" t="s">
        <v>729</v>
      </c>
      <c r="G378" s="5" t="s">
        <v>730</v>
      </c>
      <c r="H378" s="5" t="s">
        <v>802</v>
      </c>
      <c r="I378" s="5" t="s">
        <v>825</v>
      </c>
      <c r="J378" s="9" t="s">
        <v>9</v>
      </c>
      <c r="K378" s="5"/>
    </row>
    <row r="379" spans="1:11" x14ac:dyDescent="0.25">
      <c r="A379" s="10">
        <v>45323</v>
      </c>
      <c r="B379" s="9" t="s">
        <v>731</v>
      </c>
      <c r="C379" s="9">
        <v>24</v>
      </c>
      <c r="D379" s="9"/>
      <c r="E379" s="8" t="s">
        <v>112</v>
      </c>
      <c r="F379" s="8" t="s">
        <v>732</v>
      </c>
      <c r="G379" s="9"/>
      <c r="H379" s="9" t="s">
        <v>34</v>
      </c>
      <c r="I379" s="5" t="s">
        <v>825</v>
      </c>
      <c r="J379" s="5" t="s">
        <v>24</v>
      </c>
      <c r="K379" s="9"/>
    </row>
    <row r="380" spans="1:11" x14ac:dyDescent="0.25">
      <c r="A380" s="4">
        <v>45327</v>
      </c>
      <c r="B380" s="5" t="s">
        <v>733</v>
      </c>
      <c r="C380" s="5">
        <v>85</v>
      </c>
      <c r="D380" s="9" t="s">
        <v>111</v>
      </c>
      <c r="E380" s="5" t="s">
        <v>734</v>
      </c>
      <c r="F380" s="5" t="s">
        <v>735</v>
      </c>
      <c r="G380" s="5" t="s">
        <v>730</v>
      </c>
      <c r="H380" s="5" t="s">
        <v>802</v>
      </c>
      <c r="I380" s="5" t="s">
        <v>825</v>
      </c>
      <c r="J380" s="9" t="s">
        <v>9</v>
      </c>
      <c r="K380" s="5"/>
    </row>
    <row r="381" spans="1:11" x14ac:dyDescent="0.25">
      <c r="A381" s="10">
        <v>45328</v>
      </c>
      <c r="B381" s="9" t="s">
        <v>736</v>
      </c>
      <c r="C381" s="9">
        <v>67</v>
      </c>
      <c r="D381" s="8" t="s">
        <v>8</v>
      </c>
      <c r="E381" s="9" t="s">
        <v>56</v>
      </c>
      <c r="F381" s="9" t="s">
        <v>737</v>
      </c>
      <c r="G381" s="9" t="s">
        <v>730</v>
      </c>
      <c r="H381" s="5" t="s">
        <v>802</v>
      </c>
      <c r="I381" s="5" t="s">
        <v>825</v>
      </c>
      <c r="J381" s="9" t="s">
        <v>9</v>
      </c>
      <c r="K381" s="9"/>
    </row>
    <row r="382" spans="1:11" x14ac:dyDescent="0.25">
      <c r="A382" s="4">
        <v>45328</v>
      </c>
      <c r="B382" s="5" t="s">
        <v>738</v>
      </c>
      <c r="C382" s="5">
        <v>63</v>
      </c>
      <c r="D382" s="5"/>
      <c r="E382" s="5" t="s">
        <v>739</v>
      </c>
      <c r="F382" s="5" t="s">
        <v>740</v>
      </c>
      <c r="G382" s="5" t="s">
        <v>730</v>
      </c>
      <c r="H382" s="5" t="s">
        <v>802</v>
      </c>
      <c r="I382" s="5" t="s">
        <v>825</v>
      </c>
      <c r="J382" s="9" t="s">
        <v>9</v>
      </c>
      <c r="K382" s="5"/>
    </row>
    <row r="383" spans="1:11" x14ac:dyDescent="0.25">
      <c r="A383" s="10">
        <v>45328</v>
      </c>
      <c r="B383" s="9" t="s">
        <v>741</v>
      </c>
      <c r="C383" s="9">
        <v>22</v>
      </c>
      <c r="D383" s="9"/>
      <c r="E383" s="9"/>
      <c r="F383" s="9" t="s">
        <v>742</v>
      </c>
      <c r="G383" s="9"/>
      <c r="H383" s="9" t="s">
        <v>34</v>
      </c>
      <c r="I383" s="5" t="s">
        <v>825</v>
      </c>
      <c r="J383" s="5" t="s">
        <v>24</v>
      </c>
      <c r="K383" s="9"/>
    </row>
    <row r="384" spans="1:11" x14ac:dyDescent="0.25">
      <c r="A384" s="4">
        <v>45329</v>
      </c>
      <c r="B384" s="5" t="s">
        <v>743</v>
      </c>
      <c r="C384" s="5">
        <v>88</v>
      </c>
      <c r="D384" s="5"/>
      <c r="E384" s="5" t="s">
        <v>74</v>
      </c>
      <c r="F384" s="5" t="s">
        <v>39</v>
      </c>
      <c r="G384" s="5" t="s">
        <v>730</v>
      </c>
      <c r="H384" s="5" t="s">
        <v>802</v>
      </c>
      <c r="I384" s="5" t="s">
        <v>825</v>
      </c>
      <c r="J384" s="9" t="s">
        <v>9</v>
      </c>
      <c r="K384" s="5"/>
    </row>
    <row r="385" spans="1:11" x14ac:dyDescent="0.25">
      <c r="A385" s="10">
        <v>45329</v>
      </c>
      <c r="B385" s="9" t="s">
        <v>744</v>
      </c>
      <c r="C385" s="9">
        <v>62</v>
      </c>
      <c r="D385" s="5" t="s">
        <v>214</v>
      </c>
      <c r="E385" s="9" t="s">
        <v>745</v>
      </c>
      <c r="F385" s="9" t="s">
        <v>746</v>
      </c>
      <c r="G385" s="9"/>
      <c r="H385" s="9" t="s">
        <v>34</v>
      </c>
      <c r="I385" s="5" t="s">
        <v>825</v>
      </c>
      <c r="J385" s="5" t="s">
        <v>24</v>
      </c>
      <c r="K385" s="9"/>
    </row>
    <row r="386" spans="1:11" x14ac:dyDescent="0.25">
      <c r="A386" s="4">
        <v>45329</v>
      </c>
      <c r="B386" s="5" t="s">
        <v>747</v>
      </c>
      <c r="C386" s="5">
        <v>78</v>
      </c>
      <c r="D386" s="5"/>
      <c r="E386" s="5" t="s">
        <v>623</v>
      </c>
      <c r="F386" s="5" t="s">
        <v>748</v>
      </c>
      <c r="G386" s="5" t="s">
        <v>730</v>
      </c>
      <c r="H386" s="5" t="s">
        <v>802</v>
      </c>
      <c r="I386" s="5" t="s">
        <v>825</v>
      </c>
      <c r="J386" s="9" t="s">
        <v>9</v>
      </c>
      <c r="K386" s="5"/>
    </row>
    <row r="387" spans="1:11" x14ac:dyDescent="0.25">
      <c r="A387" s="10">
        <v>45330</v>
      </c>
      <c r="B387" s="9" t="s">
        <v>765</v>
      </c>
      <c r="C387" s="9">
        <v>66</v>
      </c>
      <c r="D387" s="9"/>
      <c r="E387" s="9" t="s">
        <v>56</v>
      </c>
      <c r="F387" s="9" t="s">
        <v>737</v>
      </c>
      <c r="G387" s="9" t="s">
        <v>730</v>
      </c>
      <c r="H387" s="5" t="s">
        <v>802</v>
      </c>
      <c r="I387" s="5" t="s">
        <v>825</v>
      </c>
      <c r="J387" s="9" t="s">
        <v>9</v>
      </c>
      <c r="K387" s="9"/>
    </row>
    <row r="388" spans="1:11" x14ac:dyDescent="0.25">
      <c r="A388" s="4">
        <v>45331</v>
      </c>
      <c r="B388" s="5" t="s">
        <v>749</v>
      </c>
      <c r="C388" s="5">
        <v>79</v>
      </c>
      <c r="D388" s="5"/>
      <c r="E388" s="5" t="s">
        <v>750</v>
      </c>
      <c r="F388" s="5" t="s">
        <v>737</v>
      </c>
      <c r="G388" s="5" t="s">
        <v>730</v>
      </c>
      <c r="H388" s="5" t="s">
        <v>802</v>
      </c>
      <c r="I388" s="5" t="s">
        <v>825</v>
      </c>
      <c r="J388" s="9" t="s">
        <v>9</v>
      </c>
      <c r="K388" s="5"/>
    </row>
    <row r="389" spans="1:11" x14ac:dyDescent="0.25">
      <c r="A389" s="10">
        <v>45337</v>
      </c>
      <c r="B389" s="9" t="s">
        <v>749</v>
      </c>
      <c r="C389" s="9">
        <v>79</v>
      </c>
      <c r="D389" s="9"/>
      <c r="E389" s="9" t="s">
        <v>786</v>
      </c>
      <c r="F389" s="9" t="s">
        <v>787</v>
      </c>
      <c r="G389" s="9" t="s">
        <v>730</v>
      </c>
      <c r="H389" s="5" t="s">
        <v>802</v>
      </c>
      <c r="I389" s="5" t="s">
        <v>825</v>
      </c>
      <c r="J389" s="9" t="s">
        <v>9</v>
      </c>
      <c r="K389" s="9"/>
    </row>
    <row r="390" spans="1:11" x14ac:dyDescent="0.25">
      <c r="A390" s="4">
        <v>45338</v>
      </c>
      <c r="B390" s="5" t="s">
        <v>763</v>
      </c>
      <c r="C390" s="5">
        <v>61</v>
      </c>
      <c r="D390" s="5"/>
      <c r="E390" s="5" t="s">
        <v>764</v>
      </c>
      <c r="F390" s="5" t="s">
        <v>128</v>
      </c>
      <c r="G390" s="5" t="s">
        <v>730</v>
      </c>
      <c r="H390" s="5" t="s">
        <v>802</v>
      </c>
      <c r="I390" s="5" t="s">
        <v>825</v>
      </c>
      <c r="J390" s="9" t="s">
        <v>9</v>
      </c>
      <c r="K390" s="5"/>
    </row>
    <row r="391" spans="1:11" x14ac:dyDescent="0.25">
      <c r="A391" s="10">
        <v>45342</v>
      </c>
      <c r="B391" s="9" t="s">
        <v>751</v>
      </c>
      <c r="C391" s="9">
        <v>60</v>
      </c>
      <c r="D391" s="8" t="s">
        <v>120</v>
      </c>
      <c r="E391" s="9" t="s">
        <v>56</v>
      </c>
      <c r="F391" s="9" t="s">
        <v>737</v>
      </c>
      <c r="G391" s="9" t="s">
        <v>730</v>
      </c>
      <c r="H391" s="5" t="s">
        <v>802</v>
      </c>
      <c r="I391" s="5" t="s">
        <v>825</v>
      </c>
      <c r="J391" s="9" t="s">
        <v>9</v>
      </c>
      <c r="K391" s="9"/>
    </row>
    <row r="392" spans="1:11" x14ac:dyDescent="0.25">
      <c r="A392" s="4">
        <v>45342</v>
      </c>
      <c r="B392" s="5" t="s">
        <v>752</v>
      </c>
      <c r="C392" s="5">
        <v>77</v>
      </c>
      <c r="D392" s="5" t="s">
        <v>214</v>
      </c>
      <c r="E392" s="5" t="s">
        <v>753</v>
      </c>
      <c r="F392" s="5" t="s">
        <v>754</v>
      </c>
      <c r="G392" s="5" t="s">
        <v>730</v>
      </c>
      <c r="H392" s="5" t="s">
        <v>802</v>
      </c>
      <c r="I392" s="5" t="s">
        <v>825</v>
      </c>
      <c r="J392" s="9" t="s">
        <v>9</v>
      </c>
      <c r="K392" s="5"/>
    </row>
    <row r="393" spans="1:11" x14ac:dyDescent="0.25">
      <c r="A393" s="10">
        <v>45342</v>
      </c>
      <c r="B393" s="9" t="s">
        <v>755</v>
      </c>
      <c r="C393" s="9">
        <v>68</v>
      </c>
      <c r="D393" s="9"/>
      <c r="E393" s="9" t="s">
        <v>756</v>
      </c>
      <c r="F393" s="9" t="s">
        <v>272</v>
      </c>
      <c r="G393" s="9" t="s">
        <v>730</v>
      </c>
      <c r="H393" s="5" t="s">
        <v>802</v>
      </c>
      <c r="I393" s="5" t="s">
        <v>825</v>
      </c>
      <c r="J393" s="9" t="s">
        <v>9</v>
      </c>
      <c r="K393" s="9"/>
    </row>
    <row r="394" spans="1:11" x14ac:dyDescent="0.25">
      <c r="A394" s="4">
        <v>45342</v>
      </c>
      <c r="B394" s="5" t="s">
        <v>758</v>
      </c>
      <c r="C394" s="5">
        <v>91</v>
      </c>
      <c r="D394" s="5"/>
      <c r="E394" s="5" t="s">
        <v>717</v>
      </c>
      <c r="F394" s="5" t="s">
        <v>39</v>
      </c>
      <c r="G394" s="5" t="s">
        <v>730</v>
      </c>
      <c r="H394" s="5" t="s">
        <v>802</v>
      </c>
      <c r="I394" s="5" t="s">
        <v>825</v>
      </c>
      <c r="J394" s="9" t="s">
        <v>9</v>
      </c>
      <c r="K394" s="5"/>
    </row>
    <row r="395" spans="1:11" x14ac:dyDescent="0.25">
      <c r="A395" s="10">
        <v>45343</v>
      </c>
      <c r="B395" s="8" t="s">
        <v>770</v>
      </c>
      <c r="C395" s="9">
        <v>15</v>
      </c>
      <c r="D395" s="8" t="s">
        <v>8</v>
      </c>
      <c r="E395" s="9" t="s">
        <v>771</v>
      </c>
      <c r="F395" s="9" t="s">
        <v>772</v>
      </c>
      <c r="G395" s="9"/>
      <c r="H395" s="9" t="s">
        <v>34</v>
      </c>
      <c r="I395" s="5" t="s">
        <v>825</v>
      </c>
      <c r="J395" s="5" t="s">
        <v>24</v>
      </c>
      <c r="K395" s="9"/>
    </row>
    <row r="396" spans="1:11" x14ac:dyDescent="0.25">
      <c r="A396" s="4">
        <v>45343</v>
      </c>
      <c r="B396" s="5" t="s">
        <v>775</v>
      </c>
      <c r="C396" s="5">
        <v>75</v>
      </c>
      <c r="D396" s="5"/>
      <c r="E396" s="5" t="s">
        <v>776</v>
      </c>
      <c r="F396" s="5" t="s">
        <v>777</v>
      </c>
      <c r="G396" s="5" t="s">
        <v>730</v>
      </c>
      <c r="H396" s="5" t="s">
        <v>802</v>
      </c>
      <c r="I396" s="5" t="s">
        <v>825</v>
      </c>
      <c r="J396" s="9" t="s">
        <v>9</v>
      </c>
      <c r="K396" s="5"/>
    </row>
    <row r="397" spans="1:11" x14ac:dyDescent="0.25">
      <c r="A397" s="10">
        <v>45344</v>
      </c>
      <c r="B397" s="9" t="s">
        <v>759</v>
      </c>
      <c r="C397" s="9">
        <v>68</v>
      </c>
      <c r="D397" s="9"/>
      <c r="E397" s="9" t="s">
        <v>273</v>
      </c>
      <c r="F397" s="9" t="s">
        <v>760</v>
      </c>
      <c r="G397" s="9" t="s">
        <v>730</v>
      </c>
      <c r="H397" s="5" t="s">
        <v>802</v>
      </c>
      <c r="I397" s="5" t="s">
        <v>825</v>
      </c>
      <c r="J397" s="9" t="s">
        <v>9</v>
      </c>
      <c r="K397" s="9"/>
    </row>
    <row r="398" spans="1:11" x14ac:dyDescent="0.25">
      <c r="A398" s="4">
        <v>45344</v>
      </c>
      <c r="B398" s="5" t="s">
        <v>761</v>
      </c>
      <c r="C398" s="5">
        <v>54</v>
      </c>
      <c r="D398" s="5"/>
      <c r="E398" s="5" t="s">
        <v>249</v>
      </c>
      <c r="F398" s="5" t="s">
        <v>762</v>
      </c>
      <c r="G398" s="5" t="s">
        <v>730</v>
      </c>
      <c r="H398" s="5" t="s">
        <v>802</v>
      </c>
      <c r="I398" s="5" t="s">
        <v>825</v>
      </c>
      <c r="J398" s="9" t="s">
        <v>9</v>
      </c>
      <c r="K398" s="5"/>
    </row>
    <row r="399" spans="1:11" x14ac:dyDescent="0.25">
      <c r="A399" s="10">
        <v>45348</v>
      </c>
      <c r="B399" s="9" t="s">
        <v>766</v>
      </c>
      <c r="C399" s="9">
        <v>57</v>
      </c>
      <c r="D399" s="9"/>
      <c r="E399" s="9" t="s">
        <v>56</v>
      </c>
      <c r="F399" s="9" t="s">
        <v>737</v>
      </c>
      <c r="G399" s="9" t="s">
        <v>730</v>
      </c>
      <c r="H399" s="5" t="s">
        <v>802</v>
      </c>
      <c r="I399" s="5" t="s">
        <v>825</v>
      </c>
      <c r="J399" s="9" t="s">
        <v>9</v>
      </c>
      <c r="K399" s="9"/>
    </row>
    <row r="400" spans="1:11" x14ac:dyDescent="0.25">
      <c r="A400" s="4">
        <v>45348</v>
      </c>
      <c r="B400" s="5" t="s">
        <v>767</v>
      </c>
      <c r="C400" s="5"/>
      <c r="D400" s="5"/>
      <c r="E400" s="8" t="s">
        <v>112</v>
      </c>
      <c r="F400" s="5" t="s">
        <v>768</v>
      </c>
      <c r="G400" s="5"/>
      <c r="H400" s="5" t="s">
        <v>34</v>
      </c>
      <c r="I400" s="5" t="s">
        <v>825</v>
      </c>
      <c r="J400" s="5" t="s">
        <v>24</v>
      </c>
      <c r="K400" s="5"/>
    </row>
    <row r="401" spans="1:11" x14ac:dyDescent="0.25">
      <c r="A401" s="10">
        <v>45348</v>
      </c>
      <c r="B401" s="9" t="s">
        <v>769</v>
      </c>
      <c r="C401" s="9"/>
      <c r="D401" s="8" t="s">
        <v>8</v>
      </c>
      <c r="E401" s="8" t="s">
        <v>112</v>
      </c>
      <c r="F401" s="9" t="s">
        <v>768</v>
      </c>
      <c r="G401" s="9"/>
      <c r="H401" s="9" t="s">
        <v>34</v>
      </c>
      <c r="I401" s="5" t="s">
        <v>825</v>
      </c>
      <c r="J401" s="5" t="s">
        <v>24</v>
      </c>
      <c r="K401" s="9"/>
    </row>
    <row r="402" spans="1:11" x14ac:dyDescent="0.25">
      <c r="A402" s="4">
        <v>45348</v>
      </c>
      <c r="B402" s="5" t="s">
        <v>773</v>
      </c>
      <c r="C402" s="5">
        <v>71</v>
      </c>
      <c r="D402" s="5"/>
      <c r="E402" s="5" t="s">
        <v>56</v>
      </c>
      <c r="F402" s="5" t="s">
        <v>774</v>
      </c>
      <c r="G402" s="5" t="s">
        <v>730</v>
      </c>
      <c r="H402" s="5" t="s">
        <v>802</v>
      </c>
      <c r="I402" s="5" t="s">
        <v>825</v>
      </c>
      <c r="J402" s="9" t="s">
        <v>9</v>
      </c>
      <c r="K402" s="5"/>
    </row>
    <row r="403" spans="1:11" x14ac:dyDescent="0.25">
      <c r="A403" s="10">
        <v>45348</v>
      </c>
      <c r="B403" s="9" t="s">
        <v>781</v>
      </c>
      <c r="C403" s="9">
        <v>72</v>
      </c>
      <c r="D403" s="8" t="s">
        <v>8</v>
      </c>
      <c r="E403" s="9" t="s">
        <v>782</v>
      </c>
      <c r="F403" s="9" t="s">
        <v>56</v>
      </c>
      <c r="G403" s="9" t="s">
        <v>730</v>
      </c>
      <c r="H403" s="5" t="s">
        <v>802</v>
      </c>
      <c r="I403" s="5" t="s">
        <v>825</v>
      </c>
      <c r="J403" s="9" t="s">
        <v>9</v>
      </c>
      <c r="K403" s="9"/>
    </row>
    <row r="404" spans="1:11" x14ac:dyDescent="0.25">
      <c r="A404" s="4">
        <v>45348</v>
      </c>
      <c r="B404" s="5" t="s">
        <v>783</v>
      </c>
      <c r="C404" s="5">
        <v>67</v>
      </c>
      <c r="D404" s="5"/>
      <c r="E404" s="5" t="s">
        <v>782</v>
      </c>
      <c r="F404" s="5" t="s">
        <v>56</v>
      </c>
      <c r="G404" s="5" t="s">
        <v>730</v>
      </c>
      <c r="H404" s="5" t="s">
        <v>802</v>
      </c>
      <c r="I404" s="5" t="s">
        <v>825</v>
      </c>
      <c r="J404" s="9" t="s">
        <v>9</v>
      </c>
      <c r="K404" s="5"/>
    </row>
    <row r="405" spans="1:11" x14ac:dyDescent="0.25">
      <c r="A405" s="10">
        <v>45348</v>
      </c>
      <c r="B405" s="9" t="s">
        <v>784</v>
      </c>
      <c r="C405" s="9">
        <v>72</v>
      </c>
      <c r="D405" s="9"/>
      <c r="E405" s="9" t="s">
        <v>785</v>
      </c>
      <c r="F405" s="9" t="s">
        <v>776</v>
      </c>
      <c r="G405" s="9" t="s">
        <v>730</v>
      </c>
      <c r="H405" s="5" t="s">
        <v>802</v>
      </c>
      <c r="I405" s="5" t="s">
        <v>825</v>
      </c>
      <c r="J405" s="9" t="s">
        <v>9</v>
      </c>
      <c r="K405" s="9"/>
    </row>
    <row r="406" spans="1:11" x14ac:dyDescent="0.25">
      <c r="A406" s="4">
        <v>45349</v>
      </c>
      <c r="B406" s="5" t="s">
        <v>778</v>
      </c>
      <c r="C406" s="5">
        <v>54</v>
      </c>
      <c r="D406" s="5" t="s">
        <v>16</v>
      </c>
      <c r="E406" s="5" t="s">
        <v>779</v>
      </c>
      <c r="F406" s="5" t="s">
        <v>780</v>
      </c>
      <c r="G406" s="5" t="s">
        <v>730</v>
      </c>
      <c r="H406" s="5" t="s">
        <v>802</v>
      </c>
      <c r="I406" s="5" t="s">
        <v>825</v>
      </c>
      <c r="J406" s="9" t="s">
        <v>9</v>
      </c>
      <c r="K406" s="5"/>
    </row>
    <row r="407" spans="1:11" x14ac:dyDescent="0.25">
      <c r="A407" s="10">
        <v>45351</v>
      </c>
      <c r="B407" s="9" t="s">
        <v>788</v>
      </c>
      <c r="C407" s="9">
        <v>20</v>
      </c>
      <c r="D407" s="8" t="s">
        <v>8</v>
      </c>
      <c r="E407" s="9" t="s">
        <v>789</v>
      </c>
      <c r="F407" s="9" t="s">
        <v>476</v>
      </c>
      <c r="G407" s="9"/>
      <c r="H407" s="9" t="s">
        <v>34</v>
      </c>
      <c r="I407" s="5" t="s">
        <v>825</v>
      </c>
      <c r="J407" s="5" t="s">
        <v>24</v>
      </c>
      <c r="K407" s="9"/>
    </row>
    <row r="408" spans="1:11" x14ac:dyDescent="0.25">
      <c r="A408" s="4">
        <v>45352</v>
      </c>
      <c r="B408" s="5" t="s">
        <v>805</v>
      </c>
      <c r="C408" s="5">
        <v>69</v>
      </c>
      <c r="D408" s="5" t="s">
        <v>1680</v>
      </c>
      <c r="E408" s="5" t="s">
        <v>806</v>
      </c>
      <c r="F408" s="5" t="s">
        <v>81</v>
      </c>
      <c r="G408" s="5" t="s">
        <v>32</v>
      </c>
      <c r="H408" s="5" t="s">
        <v>802</v>
      </c>
      <c r="I408" s="5" t="s">
        <v>825</v>
      </c>
      <c r="J408" s="9" t="s">
        <v>9</v>
      </c>
      <c r="K408" s="5"/>
    </row>
    <row r="409" spans="1:11" x14ac:dyDescent="0.25">
      <c r="A409" s="10">
        <v>45355</v>
      </c>
      <c r="B409" s="9" t="s">
        <v>807</v>
      </c>
      <c r="C409" s="9">
        <v>89</v>
      </c>
      <c r="D409" s="5" t="s">
        <v>1680</v>
      </c>
      <c r="E409" s="9" t="s">
        <v>125</v>
      </c>
      <c r="F409" s="9" t="s">
        <v>39</v>
      </c>
      <c r="G409" s="9" t="s">
        <v>33</v>
      </c>
      <c r="H409" s="5" t="s">
        <v>802</v>
      </c>
      <c r="I409" s="5" t="s">
        <v>825</v>
      </c>
      <c r="J409" s="9" t="s">
        <v>9</v>
      </c>
      <c r="K409" s="9"/>
    </row>
    <row r="410" spans="1:11" x14ac:dyDescent="0.25">
      <c r="A410" s="4">
        <v>45355</v>
      </c>
      <c r="B410" s="5" t="s">
        <v>808</v>
      </c>
      <c r="C410" s="5">
        <v>92</v>
      </c>
      <c r="D410" s="5" t="s">
        <v>1680</v>
      </c>
      <c r="E410" s="5" t="s">
        <v>125</v>
      </c>
      <c r="F410" s="5" t="s">
        <v>810</v>
      </c>
      <c r="G410" s="5" t="s">
        <v>33</v>
      </c>
      <c r="H410" s="5" t="s">
        <v>802</v>
      </c>
      <c r="I410" s="5" t="s">
        <v>825</v>
      </c>
      <c r="J410" s="9" t="s">
        <v>9</v>
      </c>
      <c r="K410" s="5"/>
    </row>
    <row r="411" spans="1:11" x14ac:dyDescent="0.25">
      <c r="A411" s="10">
        <v>45355</v>
      </c>
      <c r="B411" s="9" t="s">
        <v>809</v>
      </c>
      <c r="C411" s="9">
        <v>84</v>
      </c>
      <c r="D411" s="5" t="s">
        <v>1680</v>
      </c>
      <c r="E411" s="9" t="s">
        <v>125</v>
      </c>
      <c r="F411" s="9" t="s">
        <v>810</v>
      </c>
      <c r="G411" s="9" t="s">
        <v>33</v>
      </c>
      <c r="H411" s="5" t="s">
        <v>802</v>
      </c>
      <c r="I411" s="5" t="s">
        <v>825</v>
      </c>
      <c r="J411" s="9" t="s">
        <v>9</v>
      </c>
      <c r="K411" s="9"/>
    </row>
    <row r="412" spans="1:11" x14ac:dyDescent="0.25">
      <c r="A412" s="4">
        <v>45357</v>
      </c>
      <c r="B412" s="5" t="s">
        <v>790</v>
      </c>
      <c r="C412" s="5">
        <v>63</v>
      </c>
      <c r="D412" s="8" t="s">
        <v>8</v>
      </c>
      <c r="E412" s="5" t="s">
        <v>791</v>
      </c>
      <c r="F412" s="5" t="s">
        <v>792</v>
      </c>
      <c r="G412" s="5" t="s">
        <v>32</v>
      </c>
      <c r="H412" s="5" t="s">
        <v>802</v>
      </c>
      <c r="I412" s="5" t="s">
        <v>825</v>
      </c>
      <c r="J412" s="9" t="s">
        <v>9</v>
      </c>
      <c r="K412" s="5"/>
    </row>
    <row r="413" spans="1:11" x14ac:dyDescent="0.25">
      <c r="A413" s="10">
        <v>45357</v>
      </c>
      <c r="B413" s="9" t="s">
        <v>480</v>
      </c>
      <c r="C413" s="9">
        <v>74</v>
      </c>
      <c r="D413" s="5" t="s">
        <v>214</v>
      </c>
      <c r="E413" s="9" t="s">
        <v>481</v>
      </c>
      <c r="F413" s="9" t="s">
        <v>793</v>
      </c>
      <c r="G413" s="9" t="s">
        <v>33</v>
      </c>
      <c r="H413" s="5" t="s">
        <v>802</v>
      </c>
      <c r="I413" s="5" t="s">
        <v>825</v>
      </c>
      <c r="J413" s="9" t="s">
        <v>9</v>
      </c>
      <c r="K413" s="9"/>
    </row>
    <row r="414" spans="1:11" x14ac:dyDescent="0.25">
      <c r="A414" s="4">
        <v>45357</v>
      </c>
      <c r="B414" s="5" t="s">
        <v>794</v>
      </c>
      <c r="C414" s="5">
        <v>70</v>
      </c>
      <c r="D414" s="5" t="s">
        <v>1680</v>
      </c>
      <c r="E414" s="5" t="s">
        <v>795</v>
      </c>
      <c r="F414" s="5" t="s">
        <v>796</v>
      </c>
      <c r="G414" s="5" t="s">
        <v>33</v>
      </c>
      <c r="H414" s="5" t="s">
        <v>802</v>
      </c>
      <c r="I414" s="5" t="s">
        <v>825</v>
      </c>
      <c r="J414" s="9" t="s">
        <v>9</v>
      </c>
      <c r="K414" s="5"/>
    </row>
    <row r="415" spans="1:11" x14ac:dyDescent="0.25">
      <c r="A415" s="10">
        <v>45357</v>
      </c>
      <c r="B415" s="9" t="s">
        <v>797</v>
      </c>
      <c r="C415" s="9">
        <v>77</v>
      </c>
      <c r="D415" s="5" t="s">
        <v>1680</v>
      </c>
      <c r="E415" s="9" t="s">
        <v>56</v>
      </c>
      <c r="F415" s="9" t="s">
        <v>798</v>
      </c>
      <c r="G415" s="9" t="s">
        <v>33</v>
      </c>
      <c r="H415" s="5" t="s">
        <v>802</v>
      </c>
      <c r="I415" s="5" t="s">
        <v>825</v>
      </c>
      <c r="J415" s="9" t="s">
        <v>9</v>
      </c>
      <c r="K415" s="9"/>
    </row>
    <row r="416" spans="1:11" x14ac:dyDescent="0.25">
      <c r="A416" s="4">
        <v>45358</v>
      </c>
      <c r="B416" s="5" t="s">
        <v>799</v>
      </c>
      <c r="C416" s="5">
        <v>75</v>
      </c>
      <c r="D416" s="9" t="s">
        <v>17</v>
      </c>
      <c r="E416" s="5" t="s">
        <v>800</v>
      </c>
      <c r="F416" s="5" t="s">
        <v>801</v>
      </c>
      <c r="G416" s="5" t="s">
        <v>33</v>
      </c>
      <c r="H416" s="5" t="s">
        <v>802</v>
      </c>
      <c r="I416" s="5" t="s">
        <v>825</v>
      </c>
      <c r="J416" s="9" t="s">
        <v>9</v>
      </c>
      <c r="K416" s="5"/>
    </row>
    <row r="417" spans="1:11" x14ac:dyDescent="0.25">
      <c r="A417" s="10">
        <v>45358</v>
      </c>
      <c r="B417" s="9" t="s">
        <v>803</v>
      </c>
      <c r="C417" s="9">
        <v>41</v>
      </c>
      <c r="D417" s="8" t="s">
        <v>8</v>
      </c>
      <c r="E417" s="9" t="s">
        <v>112</v>
      </c>
      <c r="F417" s="9" t="s">
        <v>804</v>
      </c>
      <c r="G417" s="9"/>
      <c r="H417" s="9" t="s">
        <v>34</v>
      </c>
      <c r="I417" s="9" t="s">
        <v>216</v>
      </c>
      <c r="J417" s="5" t="s">
        <v>24</v>
      </c>
      <c r="K417" s="9"/>
    </row>
    <row r="418" spans="1:11" x14ac:dyDescent="0.25">
      <c r="A418" s="4">
        <v>45359</v>
      </c>
      <c r="B418" s="5" t="s">
        <v>811</v>
      </c>
      <c r="C418" s="5">
        <v>64</v>
      </c>
      <c r="D418" s="5" t="s">
        <v>1680</v>
      </c>
      <c r="E418" s="5" t="s">
        <v>273</v>
      </c>
      <c r="F418" s="5" t="s">
        <v>81</v>
      </c>
      <c r="G418" s="5" t="s">
        <v>33</v>
      </c>
      <c r="H418" s="5" t="s">
        <v>802</v>
      </c>
      <c r="I418" s="5" t="s">
        <v>825</v>
      </c>
      <c r="J418" s="9" t="s">
        <v>9</v>
      </c>
      <c r="K418" s="5"/>
    </row>
    <row r="419" spans="1:11" x14ac:dyDescent="0.25">
      <c r="A419" s="10">
        <v>45359</v>
      </c>
      <c r="B419" s="9" t="s">
        <v>812</v>
      </c>
      <c r="C419" s="9">
        <v>55</v>
      </c>
      <c r="D419" s="8" t="s">
        <v>8</v>
      </c>
      <c r="E419" s="9" t="s">
        <v>125</v>
      </c>
      <c r="F419" s="9" t="s">
        <v>66</v>
      </c>
      <c r="G419" s="9" t="s">
        <v>32</v>
      </c>
      <c r="H419" s="5" t="s">
        <v>802</v>
      </c>
      <c r="I419" s="5" t="s">
        <v>825</v>
      </c>
      <c r="J419" s="9" t="s">
        <v>9</v>
      </c>
      <c r="K419" s="9"/>
    </row>
    <row r="420" spans="1:11" x14ac:dyDescent="0.25">
      <c r="A420" s="4">
        <v>45362</v>
      </c>
      <c r="B420" s="5" t="s">
        <v>813</v>
      </c>
      <c r="C420" s="5">
        <v>75</v>
      </c>
      <c r="D420" s="8" t="s">
        <v>163</v>
      </c>
      <c r="E420" s="5" t="s">
        <v>814</v>
      </c>
      <c r="F420" s="5" t="s">
        <v>815</v>
      </c>
      <c r="G420" s="5" t="s">
        <v>33</v>
      </c>
      <c r="H420" s="5" t="s">
        <v>802</v>
      </c>
      <c r="I420" s="5" t="s">
        <v>825</v>
      </c>
      <c r="J420" s="9" t="s">
        <v>9</v>
      </c>
      <c r="K420" s="5"/>
    </row>
    <row r="421" spans="1:11" x14ac:dyDescent="0.25">
      <c r="A421" s="10">
        <v>45362</v>
      </c>
      <c r="B421" s="9" t="s">
        <v>816</v>
      </c>
      <c r="C421" s="9">
        <v>62</v>
      </c>
      <c r="D421" s="8" t="s">
        <v>8</v>
      </c>
      <c r="E421" s="9" t="s">
        <v>817</v>
      </c>
      <c r="F421" s="9" t="s">
        <v>66</v>
      </c>
      <c r="G421" s="9" t="s">
        <v>32</v>
      </c>
      <c r="H421" s="5" t="s">
        <v>802</v>
      </c>
      <c r="I421" s="5" t="s">
        <v>825</v>
      </c>
      <c r="J421" s="9" t="s">
        <v>9</v>
      </c>
      <c r="K421" s="9"/>
    </row>
    <row r="422" spans="1:11" x14ac:dyDescent="0.25">
      <c r="A422" s="4">
        <v>45362</v>
      </c>
      <c r="B422" s="5" t="s">
        <v>635</v>
      </c>
      <c r="C422" s="5">
        <v>66</v>
      </c>
      <c r="D422" s="9" t="s">
        <v>17</v>
      </c>
      <c r="E422" s="5" t="s">
        <v>300</v>
      </c>
      <c r="F422" s="5" t="s">
        <v>66</v>
      </c>
      <c r="G422" s="5" t="s">
        <v>32</v>
      </c>
      <c r="H422" s="5" t="s">
        <v>802</v>
      </c>
      <c r="I422" s="5" t="s">
        <v>825</v>
      </c>
      <c r="J422" s="9" t="s">
        <v>9</v>
      </c>
      <c r="K422" s="5"/>
    </row>
    <row r="423" spans="1:11" x14ac:dyDescent="0.25">
      <c r="A423" s="10">
        <v>45363</v>
      </c>
      <c r="B423" s="9" t="s">
        <v>818</v>
      </c>
      <c r="C423" s="9">
        <v>85</v>
      </c>
      <c r="D423" s="5" t="s">
        <v>1680</v>
      </c>
      <c r="E423" s="9" t="s">
        <v>819</v>
      </c>
      <c r="F423" s="9" t="s">
        <v>820</v>
      </c>
      <c r="G423" s="9" t="s">
        <v>33</v>
      </c>
      <c r="H423" s="5" t="s">
        <v>802</v>
      </c>
      <c r="I423" s="5" t="s">
        <v>825</v>
      </c>
      <c r="J423" s="9" t="s">
        <v>9</v>
      </c>
      <c r="K423" s="9"/>
    </row>
    <row r="424" spans="1:11" x14ac:dyDescent="0.25">
      <c r="A424" s="4">
        <v>45364</v>
      </c>
      <c r="B424" s="5" t="s">
        <v>821</v>
      </c>
      <c r="C424" s="5">
        <v>55</v>
      </c>
      <c r="D424" s="5" t="s">
        <v>1680</v>
      </c>
      <c r="E424" s="5" t="s">
        <v>125</v>
      </c>
      <c r="F424" s="5" t="s">
        <v>66</v>
      </c>
      <c r="G424" s="8" t="s">
        <v>822</v>
      </c>
      <c r="H424" s="5" t="s">
        <v>34</v>
      </c>
      <c r="I424" s="5" t="s">
        <v>825</v>
      </c>
      <c r="J424" s="5" t="s">
        <v>24</v>
      </c>
      <c r="K424" s="5"/>
    </row>
    <row r="425" spans="1:11" x14ac:dyDescent="0.25">
      <c r="A425" s="10">
        <v>45376</v>
      </c>
      <c r="B425" s="9" t="s">
        <v>823</v>
      </c>
      <c r="C425" s="9">
        <v>75</v>
      </c>
      <c r="D425" s="9"/>
      <c r="E425" s="9" t="s">
        <v>56</v>
      </c>
      <c r="F425" s="9" t="s">
        <v>824</v>
      </c>
      <c r="G425" s="9" t="s">
        <v>33</v>
      </c>
      <c r="H425" s="5" t="s">
        <v>802</v>
      </c>
      <c r="I425" s="9" t="s">
        <v>825</v>
      </c>
      <c r="J425" s="9" t="s">
        <v>9</v>
      </c>
      <c r="K425" s="9"/>
    </row>
    <row r="426" spans="1:11" x14ac:dyDescent="0.25">
      <c r="A426" s="4">
        <v>45376</v>
      </c>
      <c r="B426" s="5" t="s">
        <v>826</v>
      </c>
      <c r="C426" s="5">
        <v>72</v>
      </c>
      <c r="D426" s="9" t="s">
        <v>1678</v>
      </c>
      <c r="E426" s="5" t="s">
        <v>827</v>
      </c>
      <c r="F426" s="5" t="s">
        <v>828</v>
      </c>
      <c r="G426" s="5" t="s">
        <v>33</v>
      </c>
      <c r="H426" s="5" t="s">
        <v>802</v>
      </c>
      <c r="I426" s="5" t="s">
        <v>825</v>
      </c>
      <c r="J426" s="9" t="s">
        <v>9</v>
      </c>
      <c r="K426" s="5"/>
    </row>
    <row r="427" spans="1:11" x14ac:dyDescent="0.25">
      <c r="A427" s="10">
        <v>45376</v>
      </c>
      <c r="B427" s="9" t="s">
        <v>829</v>
      </c>
      <c r="C427" s="9">
        <v>69</v>
      </c>
      <c r="D427" s="9"/>
      <c r="E427" s="9" t="s">
        <v>827</v>
      </c>
      <c r="F427" s="9" t="s">
        <v>830</v>
      </c>
      <c r="G427" s="9"/>
      <c r="H427" s="5" t="s">
        <v>802</v>
      </c>
      <c r="I427" s="9" t="s">
        <v>825</v>
      </c>
      <c r="J427" s="9" t="s">
        <v>9</v>
      </c>
      <c r="K427" s="9"/>
    </row>
    <row r="428" spans="1:11" x14ac:dyDescent="0.25">
      <c r="A428" s="4">
        <v>45376</v>
      </c>
      <c r="B428" s="5" t="s">
        <v>831</v>
      </c>
      <c r="C428" s="5">
        <v>64</v>
      </c>
      <c r="D428" s="5"/>
      <c r="E428" s="5" t="s">
        <v>410</v>
      </c>
      <c r="F428" s="5" t="s">
        <v>832</v>
      </c>
      <c r="G428" s="5" t="s">
        <v>33</v>
      </c>
      <c r="H428" s="5" t="s">
        <v>802</v>
      </c>
      <c r="I428" s="5" t="s">
        <v>825</v>
      </c>
      <c r="J428" s="9" t="s">
        <v>9</v>
      </c>
      <c r="K428" s="5"/>
    </row>
    <row r="429" spans="1:11" x14ac:dyDescent="0.25">
      <c r="A429" s="10">
        <v>45376</v>
      </c>
      <c r="B429" s="9" t="s">
        <v>833</v>
      </c>
      <c r="C429" s="9">
        <v>85</v>
      </c>
      <c r="D429" s="5" t="s">
        <v>1680</v>
      </c>
      <c r="E429" s="9" t="s">
        <v>717</v>
      </c>
      <c r="F429" s="9" t="s">
        <v>834</v>
      </c>
      <c r="G429" s="9"/>
      <c r="H429" s="5" t="s">
        <v>802</v>
      </c>
      <c r="I429" s="9" t="s">
        <v>825</v>
      </c>
      <c r="J429" s="9" t="s">
        <v>9</v>
      </c>
      <c r="K429" s="9"/>
    </row>
    <row r="430" spans="1:11" x14ac:dyDescent="0.25">
      <c r="A430" s="4">
        <v>45376</v>
      </c>
      <c r="B430" s="5" t="s">
        <v>835</v>
      </c>
      <c r="C430" s="5">
        <v>66</v>
      </c>
      <c r="D430" s="5" t="s">
        <v>1680</v>
      </c>
      <c r="E430" s="5" t="s">
        <v>836</v>
      </c>
      <c r="F430" s="5" t="s">
        <v>431</v>
      </c>
      <c r="G430" s="5" t="s">
        <v>159</v>
      </c>
      <c r="H430" s="5" t="s">
        <v>802</v>
      </c>
      <c r="I430" s="5" t="s">
        <v>825</v>
      </c>
      <c r="J430" s="9" t="s">
        <v>9</v>
      </c>
      <c r="K430" s="5"/>
    </row>
    <row r="431" spans="1:11" x14ac:dyDescent="0.25">
      <c r="A431" s="10">
        <v>45376</v>
      </c>
      <c r="B431" s="9" t="s">
        <v>837</v>
      </c>
      <c r="C431" s="9">
        <v>69</v>
      </c>
      <c r="D431" s="5" t="s">
        <v>1680</v>
      </c>
      <c r="E431" s="9" t="s">
        <v>838</v>
      </c>
      <c r="F431" s="9" t="s">
        <v>839</v>
      </c>
      <c r="G431" s="9"/>
      <c r="H431" s="5" t="s">
        <v>802</v>
      </c>
      <c r="I431" s="9" t="s">
        <v>825</v>
      </c>
      <c r="J431" s="9" t="s">
        <v>9</v>
      </c>
      <c r="K431" s="9"/>
    </row>
    <row r="432" spans="1:11" x14ac:dyDescent="0.25">
      <c r="A432" s="4">
        <v>45376</v>
      </c>
      <c r="B432" s="5" t="s">
        <v>840</v>
      </c>
      <c r="C432" s="5">
        <v>72</v>
      </c>
      <c r="D432" s="5" t="s">
        <v>100</v>
      </c>
      <c r="E432" s="5" t="s">
        <v>556</v>
      </c>
      <c r="F432" s="5" t="s">
        <v>841</v>
      </c>
      <c r="G432" s="5" t="s">
        <v>33</v>
      </c>
      <c r="H432" s="5" t="s">
        <v>802</v>
      </c>
      <c r="I432" s="5" t="s">
        <v>825</v>
      </c>
      <c r="J432" s="9" t="s">
        <v>9</v>
      </c>
      <c r="K432" s="5"/>
    </row>
    <row r="433" spans="1:11" x14ac:dyDescent="0.25">
      <c r="A433" s="10">
        <v>45377</v>
      </c>
      <c r="B433" s="9" t="s">
        <v>829</v>
      </c>
      <c r="C433" s="9">
        <v>69</v>
      </c>
      <c r="D433" s="9"/>
      <c r="E433" s="9" t="s">
        <v>848</v>
      </c>
      <c r="F433" s="9" t="s">
        <v>849</v>
      </c>
      <c r="G433" s="9"/>
      <c r="H433" s="5" t="s">
        <v>802</v>
      </c>
      <c r="I433" s="9" t="s">
        <v>825</v>
      </c>
      <c r="J433" s="9" t="s">
        <v>9</v>
      </c>
      <c r="K433" s="9"/>
    </row>
    <row r="434" spans="1:11" x14ac:dyDescent="0.25">
      <c r="A434" s="4">
        <v>45378</v>
      </c>
      <c r="B434" s="5" t="s">
        <v>850</v>
      </c>
      <c r="C434" s="13">
        <v>42</v>
      </c>
      <c r="D434" s="5" t="s">
        <v>1680</v>
      </c>
      <c r="E434" s="5" t="s">
        <v>249</v>
      </c>
      <c r="F434" s="5" t="s">
        <v>851</v>
      </c>
      <c r="G434" s="13"/>
      <c r="H434" s="5" t="s">
        <v>802</v>
      </c>
      <c r="I434" s="13"/>
      <c r="J434" s="5" t="s">
        <v>24</v>
      </c>
      <c r="K434" s="13"/>
    </row>
    <row r="435" spans="1:11" x14ac:dyDescent="0.25">
      <c r="A435" s="10">
        <v>45385</v>
      </c>
      <c r="B435" s="9" t="s">
        <v>853</v>
      </c>
      <c r="C435" s="9">
        <v>36</v>
      </c>
      <c r="D435" s="5" t="s">
        <v>1680</v>
      </c>
      <c r="E435" s="9" t="s">
        <v>125</v>
      </c>
      <c r="F435" s="9" t="s">
        <v>39</v>
      </c>
      <c r="G435" s="9" t="s">
        <v>159</v>
      </c>
      <c r="H435" s="5" t="s">
        <v>802</v>
      </c>
      <c r="I435" s="9" t="s">
        <v>825</v>
      </c>
      <c r="J435" s="9" t="s">
        <v>9</v>
      </c>
      <c r="K435" s="9"/>
    </row>
    <row r="436" spans="1:11" x14ac:dyDescent="0.25">
      <c r="A436" s="4">
        <v>45386</v>
      </c>
      <c r="B436" s="5" t="s">
        <v>846</v>
      </c>
      <c r="C436" s="5">
        <v>66</v>
      </c>
      <c r="D436" s="5"/>
      <c r="E436" s="5" t="s">
        <v>56</v>
      </c>
      <c r="F436" s="5" t="s">
        <v>847</v>
      </c>
      <c r="G436" s="5" t="s">
        <v>159</v>
      </c>
      <c r="H436" s="5" t="s">
        <v>802</v>
      </c>
      <c r="I436" s="5" t="s">
        <v>825</v>
      </c>
      <c r="J436" s="9" t="s">
        <v>9</v>
      </c>
      <c r="K436" s="5"/>
    </row>
    <row r="437" spans="1:11" x14ac:dyDescent="0.25">
      <c r="A437" s="10">
        <v>45387</v>
      </c>
      <c r="B437" s="9" t="s">
        <v>251</v>
      </c>
      <c r="C437" s="9">
        <v>68</v>
      </c>
      <c r="D437" s="5" t="s">
        <v>1680</v>
      </c>
      <c r="E437" s="9" t="s">
        <v>844</v>
      </c>
      <c r="F437" s="9" t="s">
        <v>845</v>
      </c>
      <c r="G437" s="9"/>
      <c r="H437" s="5" t="s">
        <v>802</v>
      </c>
      <c r="I437" s="9" t="s">
        <v>825</v>
      </c>
      <c r="J437" s="9" t="s">
        <v>9</v>
      </c>
      <c r="K437" s="9"/>
    </row>
    <row r="438" spans="1:11" x14ac:dyDescent="0.25">
      <c r="A438" s="4">
        <v>45387</v>
      </c>
      <c r="B438" s="5" t="s">
        <v>843</v>
      </c>
      <c r="C438" s="5">
        <v>72</v>
      </c>
      <c r="D438" s="8" t="s">
        <v>120</v>
      </c>
      <c r="E438" s="5" t="s">
        <v>56</v>
      </c>
      <c r="F438" s="5" t="s">
        <v>841</v>
      </c>
      <c r="G438" s="5"/>
      <c r="H438" s="5" t="s">
        <v>802</v>
      </c>
      <c r="I438" s="5" t="s">
        <v>825</v>
      </c>
      <c r="J438" s="9" t="s">
        <v>9</v>
      </c>
      <c r="K438" s="5"/>
    </row>
    <row r="439" spans="1:11" x14ac:dyDescent="0.25">
      <c r="A439" s="10">
        <v>45387</v>
      </c>
      <c r="B439" s="9" t="s">
        <v>907</v>
      </c>
      <c r="C439" s="9"/>
      <c r="D439" s="8" t="s">
        <v>8</v>
      </c>
      <c r="E439" s="9" t="s">
        <v>43</v>
      </c>
      <c r="F439" s="9" t="s">
        <v>908</v>
      </c>
      <c r="G439" s="9"/>
      <c r="H439" s="5" t="s">
        <v>802</v>
      </c>
      <c r="I439" s="9" t="s">
        <v>216</v>
      </c>
      <c r="J439" s="5" t="s">
        <v>24</v>
      </c>
      <c r="K439" s="9"/>
    </row>
    <row r="440" spans="1:11" x14ac:dyDescent="0.25">
      <c r="A440" s="4">
        <v>45390</v>
      </c>
      <c r="B440" s="5" t="s">
        <v>842</v>
      </c>
      <c r="C440" s="5">
        <v>64</v>
      </c>
      <c r="D440" s="8" t="s">
        <v>163</v>
      </c>
      <c r="E440" s="5" t="s">
        <v>26</v>
      </c>
      <c r="F440" s="5" t="s">
        <v>431</v>
      </c>
      <c r="G440" s="5" t="s">
        <v>159</v>
      </c>
      <c r="H440" s="5" t="s">
        <v>802</v>
      </c>
      <c r="I440" s="5" t="s">
        <v>825</v>
      </c>
      <c r="J440" s="9" t="s">
        <v>9</v>
      </c>
      <c r="K440" s="5"/>
    </row>
    <row r="441" spans="1:11" x14ac:dyDescent="0.25">
      <c r="A441" s="10">
        <v>45390</v>
      </c>
      <c r="B441" s="9" t="s">
        <v>852</v>
      </c>
      <c r="C441" s="9">
        <v>89</v>
      </c>
      <c r="D441" s="5" t="s">
        <v>1680</v>
      </c>
      <c r="E441" s="9" t="s">
        <v>125</v>
      </c>
      <c r="F441" s="9" t="s">
        <v>39</v>
      </c>
      <c r="G441" s="9" t="s">
        <v>159</v>
      </c>
      <c r="H441" s="5" t="s">
        <v>802</v>
      </c>
      <c r="I441" s="9" t="s">
        <v>825</v>
      </c>
      <c r="J441" s="9" t="s">
        <v>9</v>
      </c>
      <c r="K441" s="9"/>
    </row>
    <row r="442" spans="1:11" x14ac:dyDescent="0.25">
      <c r="A442" s="4">
        <v>45390</v>
      </c>
      <c r="B442" s="5" t="s">
        <v>854</v>
      </c>
      <c r="C442" s="5">
        <v>75</v>
      </c>
      <c r="D442" s="5" t="s">
        <v>1680</v>
      </c>
      <c r="E442" s="5" t="s">
        <v>125</v>
      </c>
      <c r="F442" s="5" t="s">
        <v>39</v>
      </c>
      <c r="G442" s="5" t="s">
        <v>159</v>
      </c>
      <c r="H442" s="5" t="s">
        <v>802</v>
      </c>
      <c r="I442" s="5" t="s">
        <v>825</v>
      </c>
      <c r="J442" s="9" t="s">
        <v>9</v>
      </c>
      <c r="K442" s="5"/>
    </row>
    <row r="443" spans="1:11" x14ac:dyDescent="0.25">
      <c r="A443" s="10">
        <v>45390</v>
      </c>
      <c r="B443" s="9" t="s">
        <v>855</v>
      </c>
      <c r="C443" s="9">
        <v>79</v>
      </c>
      <c r="D443" s="5" t="s">
        <v>1680</v>
      </c>
      <c r="E443" s="9" t="s">
        <v>26</v>
      </c>
      <c r="F443" s="9" t="s">
        <v>431</v>
      </c>
      <c r="G443" s="9" t="s">
        <v>159</v>
      </c>
      <c r="H443" s="5" t="s">
        <v>802</v>
      </c>
      <c r="I443" s="9" t="s">
        <v>825</v>
      </c>
      <c r="J443" s="9" t="s">
        <v>9</v>
      </c>
      <c r="K443" s="9"/>
    </row>
    <row r="444" spans="1:11" x14ac:dyDescent="0.25">
      <c r="A444" s="4">
        <v>45390</v>
      </c>
      <c r="B444" s="5" t="s">
        <v>856</v>
      </c>
      <c r="C444" s="5">
        <v>69</v>
      </c>
      <c r="D444" s="8" t="s">
        <v>163</v>
      </c>
      <c r="E444" s="5" t="s">
        <v>857</v>
      </c>
      <c r="F444" s="5" t="s">
        <v>858</v>
      </c>
      <c r="G444" s="5" t="s">
        <v>159</v>
      </c>
      <c r="H444" s="5" t="s">
        <v>802</v>
      </c>
      <c r="I444" s="5" t="s">
        <v>825</v>
      </c>
      <c r="J444" s="9" t="s">
        <v>9</v>
      </c>
      <c r="K444" s="5"/>
    </row>
    <row r="445" spans="1:11" x14ac:dyDescent="0.25">
      <c r="A445" s="10">
        <v>45390</v>
      </c>
      <c r="B445" s="9" t="s">
        <v>859</v>
      </c>
      <c r="C445" s="9">
        <v>71</v>
      </c>
      <c r="D445" s="5" t="s">
        <v>1680</v>
      </c>
      <c r="E445" s="9" t="s">
        <v>91</v>
      </c>
      <c r="F445" s="9" t="s">
        <v>860</v>
      </c>
      <c r="G445" s="9" t="s">
        <v>159</v>
      </c>
      <c r="H445" s="5" t="s">
        <v>802</v>
      </c>
      <c r="I445" s="9" t="s">
        <v>825</v>
      </c>
      <c r="J445" s="9" t="s">
        <v>9</v>
      </c>
      <c r="K445" s="9"/>
    </row>
    <row r="446" spans="1:11" x14ac:dyDescent="0.25">
      <c r="A446" s="4">
        <v>45390</v>
      </c>
      <c r="B446" s="5" t="s">
        <v>861</v>
      </c>
      <c r="C446" s="5">
        <v>32</v>
      </c>
      <c r="D446" s="8" t="s">
        <v>8</v>
      </c>
      <c r="E446" s="5" t="s">
        <v>862</v>
      </c>
      <c r="F446" s="5" t="s">
        <v>863</v>
      </c>
      <c r="G446" s="5"/>
      <c r="H446" s="5" t="s">
        <v>802</v>
      </c>
      <c r="I446" s="5" t="s">
        <v>825</v>
      </c>
      <c r="J446" s="5" t="s">
        <v>24</v>
      </c>
      <c r="K446" s="5"/>
    </row>
    <row r="447" spans="1:11" x14ac:dyDescent="0.25">
      <c r="A447" s="10">
        <v>45390</v>
      </c>
      <c r="B447" s="9" t="s">
        <v>866</v>
      </c>
      <c r="C447" s="9">
        <v>26</v>
      </c>
      <c r="D447" s="8" t="s">
        <v>8</v>
      </c>
      <c r="E447" s="9" t="s">
        <v>112</v>
      </c>
      <c r="F447" s="9"/>
      <c r="G447" s="9"/>
      <c r="H447" s="5" t="s">
        <v>802</v>
      </c>
      <c r="I447" s="9" t="s">
        <v>825</v>
      </c>
      <c r="J447" s="5" t="s">
        <v>24</v>
      </c>
      <c r="K447" s="9"/>
    </row>
    <row r="448" spans="1:11" x14ac:dyDescent="0.25">
      <c r="A448" s="4">
        <v>45390</v>
      </c>
      <c r="B448" s="5" t="s">
        <v>867</v>
      </c>
      <c r="C448" s="5">
        <v>16</v>
      </c>
      <c r="D448" s="8" t="s">
        <v>8</v>
      </c>
      <c r="E448" s="5" t="s">
        <v>112</v>
      </c>
      <c r="F448" s="5" t="s">
        <v>868</v>
      </c>
      <c r="G448" s="5"/>
      <c r="H448" s="5" t="s">
        <v>802</v>
      </c>
      <c r="I448" s="5" t="s">
        <v>825</v>
      </c>
      <c r="J448" s="5" t="s">
        <v>24</v>
      </c>
      <c r="K448" s="5"/>
    </row>
    <row r="449" spans="1:11" x14ac:dyDescent="0.25">
      <c r="A449" s="10">
        <v>45390</v>
      </c>
      <c r="B449" s="9" t="s">
        <v>869</v>
      </c>
      <c r="C449" s="9">
        <v>28</v>
      </c>
      <c r="D449" s="9"/>
      <c r="E449" s="9" t="s">
        <v>870</v>
      </c>
      <c r="F449" s="9" t="s">
        <v>871</v>
      </c>
      <c r="G449" s="9"/>
      <c r="H449" s="5" t="s">
        <v>802</v>
      </c>
      <c r="I449" s="9" t="s">
        <v>825</v>
      </c>
      <c r="J449" s="5" t="s">
        <v>24</v>
      </c>
      <c r="K449" s="9"/>
    </row>
    <row r="450" spans="1:11" x14ac:dyDescent="0.25">
      <c r="A450" s="4">
        <v>45390</v>
      </c>
      <c r="B450" s="5" t="s">
        <v>872</v>
      </c>
      <c r="C450" s="5">
        <v>23</v>
      </c>
      <c r="D450" s="8" t="s">
        <v>8</v>
      </c>
      <c r="E450" s="5" t="s">
        <v>125</v>
      </c>
      <c r="F450" s="5" t="s">
        <v>873</v>
      </c>
      <c r="G450" s="5"/>
      <c r="H450" s="5" t="s">
        <v>802</v>
      </c>
      <c r="I450" s="5" t="s">
        <v>825</v>
      </c>
      <c r="J450" s="5" t="s">
        <v>24</v>
      </c>
      <c r="K450" s="5"/>
    </row>
    <row r="451" spans="1:11" x14ac:dyDescent="0.25">
      <c r="A451" s="10">
        <v>45392</v>
      </c>
      <c r="B451" s="9" t="s">
        <v>874</v>
      </c>
      <c r="C451" s="9">
        <v>17</v>
      </c>
      <c r="D451" s="5" t="s">
        <v>230</v>
      </c>
      <c r="E451" s="9" t="s">
        <v>112</v>
      </c>
      <c r="F451" s="9" t="s">
        <v>875</v>
      </c>
      <c r="G451" s="9"/>
      <c r="H451" s="5" t="s">
        <v>802</v>
      </c>
      <c r="I451" s="9" t="s">
        <v>658</v>
      </c>
      <c r="J451" s="5" t="s">
        <v>24</v>
      </c>
      <c r="K451" s="9"/>
    </row>
    <row r="452" spans="1:11" x14ac:dyDescent="0.25">
      <c r="A452" s="4">
        <v>45392</v>
      </c>
      <c r="B452" s="5" t="s">
        <v>876</v>
      </c>
      <c r="C452" s="5">
        <v>58</v>
      </c>
      <c r="D452" s="8" t="s">
        <v>8</v>
      </c>
      <c r="E452" s="5" t="s">
        <v>827</v>
      </c>
      <c r="F452" s="5" t="s">
        <v>877</v>
      </c>
      <c r="G452" s="5"/>
      <c r="H452" s="5" t="s">
        <v>802</v>
      </c>
      <c r="I452" s="5" t="s">
        <v>216</v>
      </c>
      <c r="J452" s="5" t="s">
        <v>24</v>
      </c>
      <c r="K452" s="5"/>
    </row>
    <row r="453" spans="1:11" x14ac:dyDescent="0.25">
      <c r="A453" s="10">
        <v>45392</v>
      </c>
      <c r="B453" s="9" t="s">
        <v>878</v>
      </c>
      <c r="C453" s="9">
        <v>82</v>
      </c>
      <c r="D453" s="5" t="s">
        <v>1680</v>
      </c>
      <c r="E453" s="9" t="s">
        <v>125</v>
      </c>
      <c r="F453" s="9" t="s">
        <v>754</v>
      </c>
      <c r="G453" s="9" t="s">
        <v>159</v>
      </c>
      <c r="H453" s="5" t="s">
        <v>802</v>
      </c>
      <c r="I453" s="9" t="s">
        <v>825</v>
      </c>
      <c r="J453" s="9" t="s">
        <v>9</v>
      </c>
      <c r="K453" s="9"/>
    </row>
    <row r="454" spans="1:11" x14ac:dyDescent="0.25">
      <c r="A454" s="4">
        <v>45392</v>
      </c>
      <c r="B454" s="5" t="s">
        <v>905</v>
      </c>
      <c r="C454" s="5">
        <v>45</v>
      </c>
      <c r="D454" s="8" t="s">
        <v>8</v>
      </c>
      <c r="E454" s="5" t="s">
        <v>112</v>
      </c>
      <c r="F454" s="5" t="s">
        <v>906</v>
      </c>
      <c r="G454" s="5"/>
      <c r="H454" s="5" t="s">
        <v>802</v>
      </c>
      <c r="I454" s="5" t="s">
        <v>825</v>
      </c>
      <c r="J454" s="5" t="s">
        <v>24</v>
      </c>
      <c r="K454" s="5"/>
    </row>
    <row r="455" spans="1:11" x14ac:dyDescent="0.25">
      <c r="A455" s="10">
        <v>45393</v>
      </c>
      <c r="B455" s="9" t="s">
        <v>879</v>
      </c>
      <c r="C455" s="9">
        <v>72</v>
      </c>
      <c r="D455" s="9" t="s">
        <v>17</v>
      </c>
      <c r="E455" s="9" t="s">
        <v>56</v>
      </c>
      <c r="F455" s="9" t="s">
        <v>880</v>
      </c>
      <c r="G455" s="9"/>
      <c r="H455" s="5" t="s">
        <v>802</v>
      </c>
      <c r="I455" s="9" t="s">
        <v>881</v>
      </c>
      <c r="J455" s="5" t="s">
        <v>24</v>
      </c>
      <c r="K455" s="9"/>
    </row>
    <row r="456" spans="1:11" x14ac:dyDescent="0.25">
      <c r="A456" s="4">
        <v>45393</v>
      </c>
      <c r="B456" s="5" t="s">
        <v>882</v>
      </c>
      <c r="C456" s="5">
        <v>79</v>
      </c>
      <c r="D456" s="8" t="s">
        <v>120</v>
      </c>
      <c r="E456" s="5" t="s">
        <v>883</v>
      </c>
      <c r="F456" s="5" t="s">
        <v>884</v>
      </c>
      <c r="G456" s="5" t="s">
        <v>159</v>
      </c>
      <c r="H456" s="5" t="s">
        <v>802</v>
      </c>
      <c r="I456" s="5" t="s">
        <v>825</v>
      </c>
      <c r="J456" s="9" t="s">
        <v>9</v>
      </c>
      <c r="K456" s="5"/>
    </row>
    <row r="457" spans="1:11" x14ac:dyDescent="0.25">
      <c r="A457" s="10">
        <v>45393</v>
      </c>
      <c r="B457" s="9" t="s">
        <v>887</v>
      </c>
      <c r="C457" s="9">
        <v>75</v>
      </c>
      <c r="D457" s="9" t="s">
        <v>17</v>
      </c>
      <c r="E457" s="9"/>
      <c r="F457" s="9" t="s">
        <v>888</v>
      </c>
      <c r="G457" s="9" t="s">
        <v>159</v>
      </c>
      <c r="H457" s="5" t="s">
        <v>802</v>
      </c>
      <c r="I457" s="9" t="s">
        <v>825</v>
      </c>
      <c r="J457" s="9" t="s">
        <v>9</v>
      </c>
      <c r="K457" s="9"/>
    </row>
    <row r="458" spans="1:11" x14ac:dyDescent="0.25">
      <c r="A458" s="4">
        <v>45394</v>
      </c>
      <c r="B458" s="5" t="s">
        <v>885</v>
      </c>
      <c r="C458" s="5">
        <v>76</v>
      </c>
      <c r="D458" s="5"/>
      <c r="E458" s="5" t="s">
        <v>125</v>
      </c>
      <c r="F458" s="5" t="s">
        <v>39</v>
      </c>
      <c r="G458" s="5" t="s">
        <v>159</v>
      </c>
      <c r="H458" s="5" t="s">
        <v>802</v>
      </c>
      <c r="I458" s="5" t="s">
        <v>886</v>
      </c>
      <c r="J458" s="9" t="s">
        <v>9</v>
      </c>
      <c r="K458" s="5"/>
    </row>
    <row r="459" spans="1:11" x14ac:dyDescent="0.25">
      <c r="A459" s="10">
        <v>45394</v>
      </c>
      <c r="B459" s="9" t="s">
        <v>903</v>
      </c>
      <c r="C459" s="9">
        <v>16</v>
      </c>
      <c r="D459" s="5" t="s">
        <v>1680</v>
      </c>
      <c r="E459" s="9" t="s">
        <v>273</v>
      </c>
      <c r="F459" s="9" t="s">
        <v>274</v>
      </c>
      <c r="G459" s="9"/>
      <c r="H459" s="5" t="s">
        <v>802</v>
      </c>
      <c r="I459" s="9" t="s">
        <v>825</v>
      </c>
      <c r="J459" s="5" t="s">
        <v>24</v>
      </c>
      <c r="K459" s="9"/>
    </row>
    <row r="460" spans="1:11" x14ac:dyDescent="0.25">
      <c r="A460" s="4">
        <v>45397</v>
      </c>
      <c r="B460" s="5" t="s">
        <v>902</v>
      </c>
      <c r="C460" s="5">
        <v>45</v>
      </c>
      <c r="D460" s="5" t="s">
        <v>1680</v>
      </c>
      <c r="E460" s="5" t="s">
        <v>26</v>
      </c>
      <c r="F460" s="5" t="s">
        <v>431</v>
      </c>
      <c r="G460" s="5"/>
      <c r="H460" s="5" t="s">
        <v>802</v>
      </c>
      <c r="I460" s="5" t="s">
        <v>825</v>
      </c>
      <c r="J460" s="5" t="s">
        <v>24</v>
      </c>
      <c r="K460" s="5"/>
    </row>
    <row r="461" spans="1:11" x14ac:dyDescent="0.25">
      <c r="A461" s="10">
        <v>45398</v>
      </c>
      <c r="B461" s="9" t="s">
        <v>889</v>
      </c>
      <c r="C461" s="9">
        <v>74</v>
      </c>
      <c r="D461" s="8" t="s">
        <v>163</v>
      </c>
      <c r="E461" s="9" t="s">
        <v>125</v>
      </c>
      <c r="F461" s="9" t="s">
        <v>890</v>
      </c>
      <c r="G461" s="9" t="s">
        <v>159</v>
      </c>
      <c r="H461" s="5" t="s">
        <v>802</v>
      </c>
      <c r="I461" s="9" t="s">
        <v>825</v>
      </c>
      <c r="J461" s="9" t="s">
        <v>9</v>
      </c>
      <c r="K461" s="9"/>
    </row>
    <row r="462" spans="1:11" x14ac:dyDescent="0.25">
      <c r="A462" s="4">
        <v>45398</v>
      </c>
      <c r="B462" s="5" t="s">
        <v>891</v>
      </c>
      <c r="C462" s="5">
        <v>71</v>
      </c>
      <c r="D462" s="5" t="s">
        <v>1680</v>
      </c>
      <c r="E462" s="5" t="s">
        <v>26</v>
      </c>
      <c r="F462" s="5" t="s">
        <v>892</v>
      </c>
      <c r="G462" s="5" t="s">
        <v>159</v>
      </c>
      <c r="H462" s="5" t="s">
        <v>802</v>
      </c>
      <c r="I462" s="5" t="s">
        <v>825</v>
      </c>
      <c r="J462" s="9" t="s">
        <v>9</v>
      </c>
      <c r="K462" s="5"/>
    </row>
    <row r="463" spans="1:11" x14ac:dyDescent="0.25">
      <c r="A463" s="10">
        <v>45399</v>
      </c>
      <c r="B463" s="9" t="s">
        <v>893</v>
      </c>
      <c r="C463" s="9">
        <v>72</v>
      </c>
      <c r="D463" s="5" t="s">
        <v>1680</v>
      </c>
      <c r="E463" s="9" t="s">
        <v>26</v>
      </c>
      <c r="F463" s="9" t="s">
        <v>892</v>
      </c>
      <c r="G463" s="9" t="s">
        <v>159</v>
      </c>
      <c r="H463" s="5" t="s">
        <v>802</v>
      </c>
      <c r="I463" s="5" t="s">
        <v>825</v>
      </c>
      <c r="J463" s="9" t="s">
        <v>9</v>
      </c>
      <c r="K463" s="9"/>
    </row>
    <row r="464" spans="1:11" x14ac:dyDescent="0.25">
      <c r="A464" s="4">
        <v>45399</v>
      </c>
      <c r="B464" s="5" t="s">
        <v>894</v>
      </c>
      <c r="C464" s="5">
        <v>77</v>
      </c>
      <c r="D464" s="8" t="s">
        <v>8</v>
      </c>
      <c r="E464" s="5" t="s">
        <v>895</v>
      </c>
      <c r="F464" s="5" t="s">
        <v>796</v>
      </c>
      <c r="G464" s="5" t="s">
        <v>159</v>
      </c>
      <c r="H464" s="5" t="s">
        <v>802</v>
      </c>
      <c r="I464" s="5" t="s">
        <v>825</v>
      </c>
      <c r="J464" s="9" t="s">
        <v>9</v>
      </c>
      <c r="K464" s="5"/>
    </row>
    <row r="465" spans="1:11" x14ac:dyDescent="0.25">
      <c r="A465" s="10">
        <v>45399</v>
      </c>
      <c r="B465" s="9" t="s">
        <v>896</v>
      </c>
      <c r="C465" s="9">
        <v>74</v>
      </c>
      <c r="D465" s="8" t="s">
        <v>8</v>
      </c>
      <c r="E465" s="9" t="s">
        <v>897</v>
      </c>
      <c r="F465" s="9" t="s">
        <v>796</v>
      </c>
      <c r="G465" s="9" t="s">
        <v>159</v>
      </c>
      <c r="H465" s="5" t="s">
        <v>802</v>
      </c>
      <c r="I465" s="9" t="s">
        <v>825</v>
      </c>
      <c r="J465" s="9" t="s">
        <v>9</v>
      </c>
      <c r="K465" s="9"/>
    </row>
    <row r="466" spans="1:11" x14ac:dyDescent="0.25">
      <c r="A466" s="4">
        <v>45399</v>
      </c>
      <c r="B466" s="5" t="s">
        <v>898</v>
      </c>
      <c r="C466" s="5">
        <v>67</v>
      </c>
      <c r="D466" s="9" t="s">
        <v>17</v>
      </c>
      <c r="E466" s="5" t="s">
        <v>56</v>
      </c>
      <c r="F466" s="5" t="s">
        <v>899</v>
      </c>
      <c r="G466" s="5" t="s">
        <v>159</v>
      </c>
      <c r="H466" s="5" t="s">
        <v>802</v>
      </c>
      <c r="I466" s="5" t="s">
        <v>825</v>
      </c>
      <c r="J466" s="9" t="s">
        <v>9</v>
      </c>
      <c r="K466" s="5"/>
    </row>
    <row r="467" spans="1:11" x14ac:dyDescent="0.25">
      <c r="A467" s="10">
        <v>45399</v>
      </c>
      <c r="B467" s="9" t="s">
        <v>900</v>
      </c>
      <c r="C467" s="9">
        <v>63</v>
      </c>
      <c r="D467" s="9" t="s">
        <v>17</v>
      </c>
      <c r="E467" s="9" t="s">
        <v>56</v>
      </c>
      <c r="F467" s="9" t="s">
        <v>901</v>
      </c>
      <c r="G467" s="9" t="s">
        <v>159</v>
      </c>
      <c r="H467" s="5" t="s">
        <v>802</v>
      </c>
      <c r="I467" s="9" t="s">
        <v>825</v>
      </c>
      <c r="J467" s="9" t="s">
        <v>9</v>
      </c>
      <c r="K467" s="9"/>
    </row>
    <row r="468" spans="1:11" x14ac:dyDescent="0.25">
      <c r="A468" s="4">
        <v>45400</v>
      </c>
      <c r="B468" s="5" t="s">
        <v>904</v>
      </c>
      <c r="C468" s="5">
        <v>58</v>
      </c>
      <c r="D468" s="9" t="s">
        <v>17</v>
      </c>
      <c r="E468" s="5" t="s">
        <v>56</v>
      </c>
      <c r="F468" s="5" t="s">
        <v>880</v>
      </c>
      <c r="G468" s="5"/>
      <c r="H468" s="5" t="s">
        <v>802</v>
      </c>
      <c r="I468" s="5" t="s">
        <v>825</v>
      </c>
      <c r="J468" s="5" t="s">
        <v>24</v>
      </c>
      <c r="K468" s="5"/>
    </row>
    <row r="469" spans="1:11" x14ac:dyDescent="0.25">
      <c r="A469" s="10">
        <v>45400</v>
      </c>
      <c r="B469" s="9" t="s">
        <v>909</v>
      </c>
      <c r="C469" s="9">
        <v>78</v>
      </c>
      <c r="D469" s="5" t="s">
        <v>100</v>
      </c>
      <c r="E469" s="9" t="s">
        <v>910</v>
      </c>
      <c r="F469" s="9" t="s">
        <v>911</v>
      </c>
      <c r="G469" s="9" t="s">
        <v>159</v>
      </c>
      <c r="H469" s="5" t="s">
        <v>802</v>
      </c>
      <c r="I469" s="9" t="s">
        <v>825</v>
      </c>
      <c r="J469" s="9" t="s">
        <v>9</v>
      </c>
      <c r="K469" s="9"/>
    </row>
    <row r="470" spans="1:11" x14ac:dyDescent="0.25">
      <c r="A470" s="4">
        <v>45406</v>
      </c>
      <c r="B470" s="5" t="s">
        <v>912</v>
      </c>
      <c r="C470" s="5">
        <v>75</v>
      </c>
      <c r="D470" s="9" t="s">
        <v>17</v>
      </c>
      <c r="E470" s="5" t="s">
        <v>913</v>
      </c>
      <c r="F470" s="5" t="s">
        <v>914</v>
      </c>
      <c r="G470" s="5" t="s">
        <v>159</v>
      </c>
      <c r="H470" s="5" t="s">
        <v>802</v>
      </c>
      <c r="I470" s="5" t="s">
        <v>825</v>
      </c>
      <c r="J470" s="9" t="s">
        <v>9</v>
      </c>
      <c r="K470" s="5"/>
    </row>
    <row r="471" spans="1:11" x14ac:dyDescent="0.25">
      <c r="A471" s="10">
        <v>45406</v>
      </c>
      <c r="B471" s="9" t="s">
        <v>915</v>
      </c>
      <c r="C471" s="9">
        <v>64</v>
      </c>
      <c r="D471" s="8" t="s">
        <v>8</v>
      </c>
      <c r="E471" s="9" t="s">
        <v>26</v>
      </c>
      <c r="F471" s="9" t="s">
        <v>916</v>
      </c>
      <c r="G471" s="9" t="s">
        <v>159</v>
      </c>
      <c r="H471" s="5" t="s">
        <v>802</v>
      </c>
      <c r="I471" s="9" t="s">
        <v>825</v>
      </c>
      <c r="J471" s="9" t="s">
        <v>9</v>
      </c>
      <c r="K471" s="9"/>
    </row>
    <row r="472" spans="1:11" x14ac:dyDescent="0.25">
      <c r="A472" s="4">
        <v>45406</v>
      </c>
      <c r="B472" s="5" t="s">
        <v>917</v>
      </c>
      <c r="C472" s="5">
        <v>79</v>
      </c>
      <c r="D472" s="5" t="s">
        <v>918</v>
      </c>
      <c r="E472" s="5" t="s">
        <v>125</v>
      </c>
      <c r="F472" s="5" t="s">
        <v>754</v>
      </c>
      <c r="G472" s="5" t="s">
        <v>159</v>
      </c>
      <c r="H472" s="5" t="s">
        <v>802</v>
      </c>
      <c r="I472" s="5" t="s">
        <v>825</v>
      </c>
      <c r="J472" s="9" t="s">
        <v>9</v>
      </c>
      <c r="K472" s="5"/>
    </row>
    <row r="473" spans="1:11" x14ac:dyDescent="0.25">
      <c r="A473" s="10">
        <v>45406</v>
      </c>
      <c r="B473" s="9" t="s">
        <v>919</v>
      </c>
      <c r="C473" s="9">
        <v>68</v>
      </c>
      <c r="D473" s="9" t="s">
        <v>918</v>
      </c>
      <c r="E473" s="9" t="s">
        <v>920</v>
      </c>
      <c r="F473" s="9" t="s">
        <v>921</v>
      </c>
      <c r="G473" s="9" t="s">
        <v>159</v>
      </c>
      <c r="H473" s="5" t="s">
        <v>802</v>
      </c>
      <c r="I473" s="9" t="s">
        <v>825</v>
      </c>
      <c r="J473" s="9" t="s">
        <v>9</v>
      </c>
      <c r="K473" s="9"/>
    </row>
    <row r="474" spans="1:11" x14ac:dyDescent="0.25">
      <c r="A474" s="4">
        <v>45406</v>
      </c>
      <c r="B474" s="5" t="s">
        <v>922</v>
      </c>
      <c r="C474" s="5">
        <v>74</v>
      </c>
      <c r="D474" s="9" t="s">
        <v>111</v>
      </c>
      <c r="E474" s="5" t="s">
        <v>923</v>
      </c>
      <c r="F474" s="5" t="s">
        <v>924</v>
      </c>
      <c r="G474" s="5" t="s">
        <v>159</v>
      </c>
      <c r="H474" s="5" t="s">
        <v>802</v>
      </c>
      <c r="I474" s="5" t="s">
        <v>825</v>
      </c>
      <c r="J474" s="9" t="s">
        <v>9</v>
      </c>
      <c r="K474" s="5"/>
    </row>
    <row r="475" spans="1:11" x14ac:dyDescent="0.25">
      <c r="A475" s="10">
        <v>45406</v>
      </c>
      <c r="B475" s="9" t="s">
        <v>925</v>
      </c>
      <c r="C475" s="9">
        <v>79</v>
      </c>
      <c r="D475" s="9" t="s">
        <v>918</v>
      </c>
      <c r="E475" s="9" t="s">
        <v>125</v>
      </c>
      <c r="F475" s="9" t="s">
        <v>754</v>
      </c>
      <c r="G475" s="9" t="s">
        <v>159</v>
      </c>
      <c r="H475" s="5" t="s">
        <v>802</v>
      </c>
      <c r="I475" s="9" t="s">
        <v>825</v>
      </c>
      <c r="J475" s="9" t="s">
        <v>9</v>
      </c>
      <c r="K475" s="9"/>
    </row>
    <row r="476" spans="1:11" x14ac:dyDescent="0.25">
      <c r="A476" s="4">
        <v>45406</v>
      </c>
      <c r="B476" s="5" t="s">
        <v>926</v>
      </c>
      <c r="C476" s="5">
        <v>30</v>
      </c>
      <c r="D476" s="8" t="s">
        <v>8</v>
      </c>
      <c r="E476" s="5" t="s">
        <v>112</v>
      </c>
      <c r="F476" s="5" t="s">
        <v>927</v>
      </c>
      <c r="G476" s="5"/>
      <c r="H476" s="5" t="s">
        <v>802</v>
      </c>
      <c r="I476" s="5" t="s">
        <v>390</v>
      </c>
      <c r="J476" s="5" t="s">
        <v>24</v>
      </c>
      <c r="K476" s="5"/>
    </row>
    <row r="477" spans="1:11" x14ac:dyDescent="0.25">
      <c r="A477" s="10">
        <v>45407</v>
      </c>
      <c r="B477" s="9" t="s">
        <v>928</v>
      </c>
      <c r="C477" s="9">
        <v>54</v>
      </c>
      <c r="D477" s="5" t="s">
        <v>1680</v>
      </c>
      <c r="E477" s="9" t="s">
        <v>273</v>
      </c>
      <c r="F477" s="9" t="s">
        <v>274</v>
      </c>
      <c r="G477" s="9" t="s">
        <v>159</v>
      </c>
      <c r="H477" s="5" t="s">
        <v>802</v>
      </c>
      <c r="I477" s="9" t="s">
        <v>825</v>
      </c>
      <c r="J477" s="9" t="s">
        <v>9</v>
      </c>
      <c r="K477" s="9"/>
    </row>
    <row r="478" spans="1:11" x14ac:dyDescent="0.25">
      <c r="A478" s="4">
        <v>45408</v>
      </c>
      <c r="B478" s="5" t="s">
        <v>929</v>
      </c>
      <c r="C478" s="5">
        <v>75</v>
      </c>
      <c r="D478" s="9" t="s">
        <v>17</v>
      </c>
      <c r="E478" s="5" t="s">
        <v>56</v>
      </c>
      <c r="F478" s="5" t="s">
        <v>930</v>
      </c>
      <c r="G478" s="5" t="s">
        <v>931</v>
      </c>
      <c r="H478" s="5" t="s">
        <v>802</v>
      </c>
      <c r="I478" s="5" t="s">
        <v>825</v>
      </c>
      <c r="J478" s="9" t="s">
        <v>9</v>
      </c>
      <c r="K478" s="5"/>
    </row>
    <row r="479" spans="1:11" x14ac:dyDescent="0.25">
      <c r="A479" s="10">
        <v>45408</v>
      </c>
      <c r="B479" s="9" t="s">
        <v>932</v>
      </c>
      <c r="C479" s="9">
        <v>55</v>
      </c>
      <c r="D479" s="8" t="s">
        <v>120</v>
      </c>
      <c r="E479" s="9" t="s">
        <v>56</v>
      </c>
      <c r="F479" s="9" t="s">
        <v>933</v>
      </c>
      <c r="G479" s="9" t="s">
        <v>159</v>
      </c>
      <c r="H479" s="5" t="s">
        <v>802</v>
      </c>
      <c r="I479" s="9" t="s">
        <v>825</v>
      </c>
      <c r="J479" s="9" t="s">
        <v>9</v>
      </c>
      <c r="K479" s="9"/>
    </row>
    <row r="480" spans="1:11" x14ac:dyDescent="0.25">
      <c r="A480" s="4">
        <v>45409</v>
      </c>
      <c r="B480" s="5" t="s">
        <v>934</v>
      </c>
      <c r="C480" s="5">
        <v>21</v>
      </c>
      <c r="D480" s="8" t="s">
        <v>8</v>
      </c>
      <c r="E480" s="5" t="s">
        <v>112</v>
      </c>
      <c r="F480" s="5" t="s">
        <v>935</v>
      </c>
      <c r="G480" s="5"/>
      <c r="H480" s="5" t="s">
        <v>802</v>
      </c>
      <c r="I480" s="5" t="s">
        <v>825</v>
      </c>
      <c r="J480" s="5" t="s">
        <v>24</v>
      </c>
      <c r="K480" s="5"/>
    </row>
    <row r="481" spans="1:11" x14ac:dyDescent="0.25">
      <c r="A481" s="10">
        <v>45414</v>
      </c>
      <c r="B481" s="9" t="s">
        <v>936</v>
      </c>
      <c r="C481" s="9">
        <v>88</v>
      </c>
      <c r="D481" s="5" t="s">
        <v>1680</v>
      </c>
      <c r="E481" s="9" t="s">
        <v>273</v>
      </c>
      <c r="F481" s="9" t="s">
        <v>937</v>
      </c>
      <c r="G481" s="9" t="s">
        <v>159</v>
      </c>
      <c r="H481" s="5" t="s">
        <v>802</v>
      </c>
      <c r="I481" s="9" t="s">
        <v>825</v>
      </c>
      <c r="J481" s="9" t="s">
        <v>9</v>
      </c>
      <c r="K481" s="9"/>
    </row>
    <row r="482" spans="1:11" x14ac:dyDescent="0.25">
      <c r="A482" s="4">
        <v>45414</v>
      </c>
      <c r="B482" s="5" t="s">
        <v>938</v>
      </c>
      <c r="C482" s="5">
        <v>71</v>
      </c>
      <c r="D482" s="5" t="s">
        <v>1680</v>
      </c>
      <c r="E482" s="5" t="s">
        <v>26</v>
      </c>
      <c r="F482" s="5" t="s">
        <v>165</v>
      </c>
      <c r="G482" s="5" t="s">
        <v>159</v>
      </c>
      <c r="H482" s="5" t="s">
        <v>802</v>
      </c>
      <c r="I482" s="5" t="s">
        <v>825</v>
      </c>
      <c r="J482" s="9" t="s">
        <v>9</v>
      </c>
      <c r="K482" s="5"/>
    </row>
    <row r="483" spans="1:11" x14ac:dyDescent="0.25">
      <c r="A483" s="10">
        <v>45415</v>
      </c>
      <c r="B483" s="9" t="s">
        <v>939</v>
      </c>
      <c r="C483" s="9">
        <v>56</v>
      </c>
      <c r="D483" s="8" t="s">
        <v>120</v>
      </c>
      <c r="E483" s="9" t="s">
        <v>56</v>
      </c>
      <c r="F483" s="9" t="s">
        <v>899</v>
      </c>
      <c r="G483" s="9"/>
      <c r="H483" s="5" t="s">
        <v>802</v>
      </c>
      <c r="I483" s="9" t="s">
        <v>825</v>
      </c>
      <c r="J483" s="5" t="s">
        <v>24</v>
      </c>
      <c r="K483" s="9"/>
    </row>
    <row r="484" spans="1:11" x14ac:dyDescent="0.25">
      <c r="A484" s="4">
        <v>45418</v>
      </c>
      <c r="B484" s="5" t="s">
        <v>941</v>
      </c>
      <c r="C484" s="5">
        <v>76</v>
      </c>
      <c r="D484" s="5" t="s">
        <v>1680</v>
      </c>
      <c r="E484" s="5" t="s">
        <v>125</v>
      </c>
      <c r="F484" s="5" t="s">
        <v>39</v>
      </c>
      <c r="G484" s="5" t="s">
        <v>33</v>
      </c>
      <c r="H484" s="5" t="s">
        <v>802</v>
      </c>
      <c r="I484" s="5" t="s">
        <v>825</v>
      </c>
      <c r="J484" s="9" t="s">
        <v>9</v>
      </c>
      <c r="K484" s="5"/>
    </row>
    <row r="485" spans="1:11" x14ac:dyDescent="0.25">
      <c r="A485" s="10">
        <v>45418</v>
      </c>
      <c r="B485" s="9" t="s">
        <v>940</v>
      </c>
      <c r="C485" s="9">
        <v>80</v>
      </c>
      <c r="D485" s="5" t="s">
        <v>1680</v>
      </c>
      <c r="E485" s="9" t="s">
        <v>125</v>
      </c>
      <c r="F485" s="9" t="s">
        <v>754</v>
      </c>
      <c r="G485" s="9" t="s">
        <v>33</v>
      </c>
      <c r="H485" s="5" t="s">
        <v>802</v>
      </c>
      <c r="I485" s="9" t="s">
        <v>825</v>
      </c>
      <c r="J485" s="9" t="s">
        <v>9</v>
      </c>
      <c r="K485" s="9"/>
    </row>
    <row r="486" spans="1:11" x14ac:dyDescent="0.25">
      <c r="A486" s="4">
        <v>45418</v>
      </c>
      <c r="B486" s="5" t="s">
        <v>942</v>
      </c>
      <c r="C486" s="5">
        <v>87</v>
      </c>
      <c r="D486" s="5" t="s">
        <v>1680</v>
      </c>
      <c r="E486" s="5" t="s">
        <v>125</v>
      </c>
      <c r="F486" s="5" t="s">
        <v>39</v>
      </c>
      <c r="G486" s="5" t="s">
        <v>33</v>
      </c>
      <c r="H486" s="5" t="s">
        <v>802</v>
      </c>
      <c r="I486" s="5" t="s">
        <v>825</v>
      </c>
      <c r="J486" s="9" t="s">
        <v>9</v>
      </c>
      <c r="K486" s="5"/>
    </row>
    <row r="487" spans="1:11" x14ac:dyDescent="0.25">
      <c r="A487" s="10">
        <v>45419</v>
      </c>
      <c r="B487" s="9" t="s">
        <v>943</v>
      </c>
      <c r="C487" s="9">
        <v>63</v>
      </c>
      <c r="D487" s="9" t="s">
        <v>111</v>
      </c>
      <c r="E487" s="9" t="s">
        <v>857</v>
      </c>
      <c r="F487" s="9" t="s">
        <v>944</v>
      </c>
      <c r="G487" s="9" t="s">
        <v>33</v>
      </c>
      <c r="H487" s="5" t="s">
        <v>802</v>
      </c>
      <c r="I487" s="9" t="s">
        <v>825</v>
      </c>
      <c r="J487" s="9" t="s">
        <v>9</v>
      </c>
      <c r="K487" s="9"/>
    </row>
    <row r="488" spans="1:11" x14ac:dyDescent="0.25">
      <c r="A488" s="4">
        <v>45419</v>
      </c>
      <c r="B488" s="5" t="s">
        <v>629</v>
      </c>
      <c r="C488" s="5">
        <v>72</v>
      </c>
      <c r="D488" s="5" t="s">
        <v>100</v>
      </c>
      <c r="E488" s="5" t="s">
        <v>91</v>
      </c>
      <c r="F488" s="5" t="s">
        <v>945</v>
      </c>
      <c r="G488" s="5" t="s">
        <v>33</v>
      </c>
      <c r="H488" s="5" t="s">
        <v>802</v>
      </c>
      <c r="I488" s="5" t="s">
        <v>825</v>
      </c>
      <c r="J488" s="9" t="s">
        <v>9</v>
      </c>
      <c r="K488" s="5"/>
    </row>
    <row r="489" spans="1:11" x14ac:dyDescent="0.25">
      <c r="A489" s="10">
        <v>45419</v>
      </c>
      <c r="B489" s="9" t="s">
        <v>948</v>
      </c>
      <c r="C489" s="9"/>
      <c r="D489" s="5" t="s">
        <v>230</v>
      </c>
      <c r="E489" s="9"/>
      <c r="F489" s="9" t="s">
        <v>796</v>
      </c>
      <c r="G489" s="9" t="s">
        <v>33</v>
      </c>
      <c r="H489" s="5" t="s">
        <v>802</v>
      </c>
      <c r="I489" s="9" t="s">
        <v>48</v>
      </c>
      <c r="J489" s="9" t="s">
        <v>9</v>
      </c>
      <c r="K489" s="9"/>
    </row>
    <row r="490" spans="1:11" x14ac:dyDescent="0.25">
      <c r="A490" s="4">
        <v>45421</v>
      </c>
      <c r="B490" s="5" t="s">
        <v>946</v>
      </c>
      <c r="C490" s="5">
        <v>89</v>
      </c>
      <c r="D490" s="8" t="s">
        <v>8</v>
      </c>
      <c r="E490" s="5" t="s">
        <v>827</v>
      </c>
      <c r="F490" s="5" t="s">
        <v>947</v>
      </c>
      <c r="G490" s="5" t="s">
        <v>33</v>
      </c>
      <c r="H490" s="5" t="s">
        <v>802</v>
      </c>
      <c r="I490" s="5" t="s">
        <v>825</v>
      </c>
      <c r="J490" s="9" t="s">
        <v>9</v>
      </c>
      <c r="K490" s="5"/>
    </row>
    <row r="491" spans="1:11" x14ac:dyDescent="0.25">
      <c r="A491" s="10">
        <v>45421</v>
      </c>
      <c r="B491" s="9" t="s">
        <v>949</v>
      </c>
      <c r="C491" s="9">
        <v>56</v>
      </c>
      <c r="D491" s="9" t="s">
        <v>17</v>
      </c>
      <c r="E491" s="9" t="s">
        <v>56</v>
      </c>
      <c r="F491" s="9" t="s">
        <v>930</v>
      </c>
      <c r="G491" s="9"/>
      <c r="H491" s="5" t="s">
        <v>802</v>
      </c>
      <c r="I491" s="5" t="s">
        <v>825</v>
      </c>
      <c r="J491" s="5" t="s">
        <v>24</v>
      </c>
      <c r="K491" s="9"/>
    </row>
    <row r="492" spans="1:11" x14ac:dyDescent="0.25">
      <c r="A492" s="4">
        <v>45421</v>
      </c>
      <c r="B492" s="5" t="s">
        <v>950</v>
      </c>
      <c r="C492" s="5">
        <v>33</v>
      </c>
      <c r="D492" s="9" t="s">
        <v>111</v>
      </c>
      <c r="E492" s="5" t="s">
        <v>951</v>
      </c>
      <c r="F492" s="5" t="s">
        <v>1662</v>
      </c>
      <c r="G492" s="5"/>
      <c r="H492" s="5" t="s">
        <v>802</v>
      </c>
      <c r="I492" s="5" t="s">
        <v>825</v>
      </c>
      <c r="J492" s="5" t="s">
        <v>24</v>
      </c>
      <c r="K492" s="5"/>
    </row>
    <row r="493" spans="1:11" x14ac:dyDescent="0.25">
      <c r="A493" s="4">
        <v>45421</v>
      </c>
      <c r="B493" s="5" t="s">
        <v>950</v>
      </c>
      <c r="C493" s="5">
        <v>33</v>
      </c>
      <c r="D493" s="9" t="s">
        <v>111</v>
      </c>
      <c r="E493" s="5" t="s">
        <v>951</v>
      </c>
      <c r="F493" s="5" t="s">
        <v>1661</v>
      </c>
      <c r="G493" s="5"/>
      <c r="H493" s="5" t="s">
        <v>802</v>
      </c>
      <c r="I493" s="5" t="s">
        <v>825</v>
      </c>
      <c r="J493" s="5" t="s">
        <v>24</v>
      </c>
      <c r="K493" s="5"/>
    </row>
    <row r="494" spans="1:11" x14ac:dyDescent="0.25">
      <c r="A494" s="10">
        <v>45427</v>
      </c>
      <c r="B494" s="9" t="s">
        <v>952</v>
      </c>
      <c r="C494" s="9"/>
      <c r="D494" s="5" t="s">
        <v>214</v>
      </c>
      <c r="E494" s="9" t="s">
        <v>953</v>
      </c>
      <c r="F494" s="9"/>
      <c r="G494" s="9" t="s">
        <v>33</v>
      </c>
      <c r="H494" s="5" t="s">
        <v>802</v>
      </c>
      <c r="I494" s="9" t="s">
        <v>216</v>
      </c>
      <c r="J494" s="9" t="s">
        <v>9</v>
      </c>
      <c r="K494" s="9"/>
    </row>
    <row r="495" spans="1:11" x14ac:dyDescent="0.25">
      <c r="A495" s="4">
        <v>45427</v>
      </c>
      <c r="B495" s="5" t="s">
        <v>954</v>
      </c>
      <c r="C495" s="5">
        <v>49</v>
      </c>
      <c r="D495" s="5" t="s">
        <v>1680</v>
      </c>
      <c r="E495" s="5" t="s">
        <v>125</v>
      </c>
      <c r="F495" s="5" t="s">
        <v>39</v>
      </c>
      <c r="G495" s="5" t="s">
        <v>33</v>
      </c>
      <c r="H495" s="5" t="s">
        <v>802</v>
      </c>
      <c r="I495" s="5" t="s">
        <v>825</v>
      </c>
      <c r="J495" s="9" t="s">
        <v>9</v>
      </c>
      <c r="K495" s="5"/>
    </row>
    <row r="496" spans="1:11" x14ac:dyDescent="0.25">
      <c r="A496" s="10">
        <v>45429</v>
      </c>
      <c r="B496" s="9" t="s">
        <v>955</v>
      </c>
      <c r="C496" s="9">
        <v>79</v>
      </c>
      <c r="D496" s="9" t="s">
        <v>17</v>
      </c>
      <c r="E496" s="9" t="s">
        <v>56</v>
      </c>
      <c r="F496" s="9" t="s">
        <v>924</v>
      </c>
      <c r="G496" s="9" t="s">
        <v>33</v>
      </c>
      <c r="H496" s="5" t="s">
        <v>802</v>
      </c>
      <c r="I496" s="9" t="s">
        <v>825</v>
      </c>
      <c r="J496" s="9" t="s">
        <v>9</v>
      </c>
      <c r="K496" s="9"/>
    </row>
    <row r="497" spans="1:11" x14ac:dyDescent="0.25">
      <c r="A497" s="4">
        <v>45429</v>
      </c>
      <c r="B497" s="5" t="s">
        <v>956</v>
      </c>
      <c r="C497" s="5">
        <v>67</v>
      </c>
      <c r="D497" s="8" t="s">
        <v>120</v>
      </c>
      <c r="E497" s="5" t="s">
        <v>56</v>
      </c>
      <c r="F497" s="5" t="s">
        <v>930</v>
      </c>
      <c r="G497" s="5" t="s">
        <v>33</v>
      </c>
      <c r="H497" s="5" t="s">
        <v>802</v>
      </c>
      <c r="I497" s="5" t="s">
        <v>825</v>
      </c>
      <c r="J497" s="9" t="s">
        <v>9</v>
      </c>
      <c r="K497" s="5"/>
    </row>
    <row r="498" spans="1:11" x14ac:dyDescent="0.25">
      <c r="A498" s="10">
        <v>45429</v>
      </c>
      <c r="B498" s="9" t="s">
        <v>957</v>
      </c>
      <c r="C498" s="9">
        <v>74</v>
      </c>
      <c r="D498" s="9" t="s">
        <v>153</v>
      </c>
      <c r="E498" s="9" t="s">
        <v>273</v>
      </c>
      <c r="F498" s="9" t="s">
        <v>958</v>
      </c>
      <c r="G498" s="9" t="s">
        <v>33</v>
      </c>
      <c r="H498" s="5" t="s">
        <v>802</v>
      </c>
      <c r="I498" s="9" t="s">
        <v>825</v>
      </c>
      <c r="J498" s="9" t="s">
        <v>9</v>
      </c>
      <c r="K498" s="9"/>
    </row>
    <row r="499" spans="1:11" x14ac:dyDescent="0.25">
      <c r="A499" s="4">
        <v>45433</v>
      </c>
      <c r="B499" s="5" t="s">
        <v>959</v>
      </c>
      <c r="C499" s="5">
        <v>72</v>
      </c>
      <c r="D499" s="9" t="s">
        <v>1678</v>
      </c>
      <c r="E499" s="5" t="s">
        <v>960</v>
      </c>
      <c r="F499" s="5" t="s">
        <v>930</v>
      </c>
      <c r="G499" s="5" t="s">
        <v>33</v>
      </c>
      <c r="H499" s="5" t="s">
        <v>802</v>
      </c>
      <c r="I499" s="5" t="s">
        <v>825</v>
      </c>
      <c r="J499" s="9" t="s">
        <v>9</v>
      </c>
      <c r="K499" s="5"/>
    </row>
    <row r="500" spans="1:11" x14ac:dyDescent="0.25">
      <c r="A500" s="10">
        <v>45433</v>
      </c>
      <c r="B500" s="9" t="s">
        <v>961</v>
      </c>
      <c r="C500" s="9">
        <v>89</v>
      </c>
      <c r="D500" s="8" t="s">
        <v>246</v>
      </c>
      <c r="E500" s="9" t="s">
        <v>125</v>
      </c>
      <c r="F500" s="9" t="s">
        <v>39</v>
      </c>
      <c r="G500" s="9"/>
      <c r="H500" s="5" t="s">
        <v>802</v>
      </c>
      <c r="I500" s="9" t="s">
        <v>825</v>
      </c>
      <c r="J500" s="9" t="s">
        <v>9</v>
      </c>
      <c r="K500" s="9"/>
    </row>
    <row r="501" spans="1:11" x14ac:dyDescent="0.25">
      <c r="A501" s="4">
        <v>45433</v>
      </c>
      <c r="B501" s="5" t="s">
        <v>962</v>
      </c>
      <c r="C501" s="5">
        <v>75</v>
      </c>
      <c r="D501" s="9" t="s">
        <v>153</v>
      </c>
      <c r="E501" s="5" t="s">
        <v>56</v>
      </c>
      <c r="F501" s="5" t="s">
        <v>963</v>
      </c>
      <c r="G501" s="5" t="s">
        <v>33</v>
      </c>
      <c r="H501" s="5" t="s">
        <v>802</v>
      </c>
      <c r="I501" s="5" t="s">
        <v>632</v>
      </c>
      <c r="J501" s="9" t="s">
        <v>9</v>
      </c>
      <c r="K501" s="5"/>
    </row>
    <row r="502" spans="1:11" x14ac:dyDescent="0.25">
      <c r="A502" s="10">
        <v>45434</v>
      </c>
      <c r="B502" s="9" t="s">
        <v>964</v>
      </c>
      <c r="C502" s="9">
        <v>96</v>
      </c>
      <c r="D502" s="5" t="s">
        <v>1680</v>
      </c>
      <c r="E502" s="9" t="s">
        <v>125</v>
      </c>
      <c r="F502" s="9" t="s">
        <v>39</v>
      </c>
      <c r="G502" s="9" t="s">
        <v>33</v>
      </c>
      <c r="H502" s="5" t="s">
        <v>802</v>
      </c>
      <c r="I502" s="9" t="s">
        <v>825</v>
      </c>
      <c r="J502" s="9" t="s">
        <v>9</v>
      </c>
      <c r="K502" s="9"/>
    </row>
    <row r="503" spans="1:11" x14ac:dyDescent="0.25">
      <c r="A503" s="4">
        <v>45434</v>
      </c>
      <c r="B503" s="5" t="s">
        <v>965</v>
      </c>
      <c r="C503" s="5">
        <v>83</v>
      </c>
      <c r="D503" s="5" t="s">
        <v>1680</v>
      </c>
      <c r="E503" s="5" t="s">
        <v>125</v>
      </c>
      <c r="F503" s="5" t="s">
        <v>39</v>
      </c>
      <c r="G503" s="5"/>
      <c r="H503" s="5" t="s">
        <v>802</v>
      </c>
      <c r="I503" s="5" t="s">
        <v>825</v>
      </c>
      <c r="J503" s="9" t="s">
        <v>9</v>
      </c>
      <c r="K503" s="5"/>
    </row>
    <row r="504" spans="1:11" x14ac:dyDescent="0.25">
      <c r="A504" s="10">
        <v>45434</v>
      </c>
      <c r="B504" s="9" t="s">
        <v>966</v>
      </c>
      <c r="C504" s="9">
        <v>68</v>
      </c>
      <c r="D504" s="9" t="s">
        <v>674</v>
      </c>
      <c r="E504" s="9" t="s">
        <v>967</v>
      </c>
      <c r="F504" s="9" t="s">
        <v>968</v>
      </c>
      <c r="G504" s="9"/>
      <c r="H504" s="5" t="s">
        <v>802</v>
      </c>
      <c r="I504" s="9" t="s">
        <v>825</v>
      </c>
      <c r="J504" s="9" t="s">
        <v>9</v>
      </c>
      <c r="K504" s="9"/>
    </row>
    <row r="505" spans="1:11" x14ac:dyDescent="0.25">
      <c r="A505" s="4">
        <v>45434</v>
      </c>
      <c r="B505" s="5" t="s">
        <v>969</v>
      </c>
      <c r="C505" s="5">
        <v>88</v>
      </c>
      <c r="D505" s="5" t="s">
        <v>1680</v>
      </c>
      <c r="E505" s="5" t="s">
        <v>125</v>
      </c>
      <c r="F505" s="5" t="s">
        <v>39</v>
      </c>
      <c r="G505" s="5"/>
      <c r="H505" s="5" t="s">
        <v>802</v>
      </c>
      <c r="I505" s="5" t="s">
        <v>825</v>
      </c>
      <c r="J505" s="9" t="s">
        <v>9</v>
      </c>
      <c r="K505" s="5"/>
    </row>
    <row r="506" spans="1:11" x14ac:dyDescent="0.25">
      <c r="A506" s="10">
        <v>45436</v>
      </c>
      <c r="B506" s="9" t="s">
        <v>970</v>
      </c>
      <c r="C506" s="9">
        <v>84</v>
      </c>
      <c r="D506" s="5" t="s">
        <v>1680</v>
      </c>
      <c r="E506" s="9" t="s">
        <v>838</v>
      </c>
      <c r="F506" s="9" t="s">
        <v>971</v>
      </c>
      <c r="G506" s="9"/>
      <c r="H506" s="5" t="s">
        <v>802</v>
      </c>
      <c r="I506" s="9" t="s">
        <v>825</v>
      </c>
      <c r="J506" s="9" t="s">
        <v>9</v>
      </c>
      <c r="K506" s="9"/>
    </row>
    <row r="507" spans="1:11" x14ac:dyDescent="0.25">
      <c r="A507" s="4">
        <v>45437</v>
      </c>
      <c r="B507" s="5" t="s">
        <v>972</v>
      </c>
      <c r="C507" s="5">
        <v>57</v>
      </c>
      <c r="D507" s="5" t="s">
        <v>674</v>
      </c>
      <c r="E507" s="5" t="s">
        <v>973</v>
      </c>
      <c r="F507" s="5" t="s">
        <v>974</v>
      </c>
      <c r="G507" s="5"/>
      <c r="H507" s="5" t="s">
        <v>802</v>
      </c>
      <c r="I507" s="5" t="s">
        <v>975</v>
      </c>
      <c r="J507" s="5" t="s">
        <v>24</v>
      </c>
      <c r="K507" s="5"/>
    </row>
    <row r="508" spans="1:11" x14ac:dyDescent="0.25">
      <c r="A508" s="10">
        <v>45438</v>
      </c>
      <c r="B508" s="9" t="s">
        <v>976</v>
      </c>
      <c r="C508" s="9">
        <v>41</v>
      </c>
      <c r="D508" s="8" t="s">
        <v>120</v>
      </c>
      <c r="E508" s="9" t="s">
        <v>977</v>
      </c>
      <c r="F508" s="9"/>
      <c r="G508" s="9" t="s">
        <v>978</v>
      </c>
      <c r="H508" s="5" t="s">
        <v>802</v>
      </c>
      <c r="I508" s="9"/>
      <c r="J508" s="5" t="s">
        <v>24</v>
      </c>
      <c r="K508" s="9"/>
    </row>
    <row r="509" spans="1:11" x14ac:dyDescent="0.25">
      <c r="A509" s="4">
        <v>45443</v>
      </c>
      <c r="B509" s="5" t="s">
        <v>979</v>
      </c>
      <c r="C509" s="5">
        <v>68</v>
      </c>
      <c r="D509" s="5" t="s">
        <v>692</v>
      </c>
      <c r="E509" s="5" t="s">
        <v>857</v>
      </c>
      <c r="F509" s="5" t="s">
        <v>980</v>
      </c>
      <c r="G509" s="5"/>
      <c r="H509" s="5" t="s">
        <v>802</v>
      </c>
      <c r="I509" s="5" t="s">
        <v>825</v>
      </c>
      <c r="J509" s="9" t="s">
        <v>9</v>
      </c>
      <c r="K509" s="5"/>
    </row>
    <row r="510" spans="1:11" x14ac:dyDescent="0.25">
      <c r="A510" s="10">
        <v>45443</v>
      </c>
      <c r="B510" s="9" t="s">
        <v>981</v>
      </c>
      <c r="C510" s="9">
        <v>61</v>
      </c>
      <c r="D510" s="9" t="s">
        <v>17</v>
      </c>
      <c r="E510" s="9" t="s">
        <v>56</v>
      </c>
      <c r="F510" s="9" t="s">
        <v>899</v>
      </c>
      <c r="G510" s="9" t="s">
        <v>33</v>
      </c>
      <c r="H510" s="5" t="s">
        <v>802</v>
      </c>
      <c r="I510" s="9" t="s">
        <v>825</v>
      </c>
      <c r="J510" s="9" t="s">
        <v>9</v>
      </c>
      <c r="K510" s="9"/>
    </row>
    <row r="511" spans="1:11" x14ac:dyDescent="0.25">
      <c r="A511" s="4">
        <v>45443</v>
      </c>
      <c r="B511" s="5" t="s">
        <v>982</v>
      </c>
      <c r="C511" s="5">
        <v>74</v>
      </c>
      <c r="D511" s="8" t="s">
        <v>8</v>
      </c>
      <c r="E511" s="5" t="s">
        <v>983</v>
      </c>
      <c r="F511" s="5" t="s">
        <v>930</v>
      </c>
      <c r="G511" s="5"/>
      <c r="H511" s="5" t="s">
        <v>802</v>
      </c>
      <c r="I511" s="5" t="s">
        <v>825</v>
      </c>
      <c r="J511" s="9" t="s">
        <v>9</v>
      </c>
      <c r="K511" s="5"/>
    </row>
    <row r="512" spans="1:11" x14ac:dyDescent="0.25">
      <c r="A512" s="10">
        <v>45443</v>
      </c>
      <c r="B512" s="9" t="s">
        <v>984</v>
      </c>
      <c r="C512" s="9">
        <v>68</v>
      </c>
      <c r="D512" s="5" t="s">
        <v>100</v>
      </c>
      <c r="E512" s="9" t="s">
        <v>985</v>
      </c>
      <c r="F512" s="9" t="s">
        <v>986</v>
      </c>
      <c r="G512" s="9" t="s">
        <v>33</v>
      </c>
      <c r="H512" s="5" t="s">
        <v>802</v>
      </c>
      <c r="I512" s="9" t="s">
        <v>825</v>
      </c>
      <c r="J512" s="9" t="s">
        <v>9</v>
      </c>
      <c r="K512" s="9"/>
    </row>
    <row r="513" spans="1:11" x14ac:dyDescent="0.25">
      <c r="A513" s="4">
        <v>45443</v>
      </c>
      <c r="B513" s="5" t="s">
        <v>987</v>
      </c>
      <c r="C513" s="5">
        <v>68</v>
      </c>
      <c r="D513" s="9" t="s">
        <v>153</v>
      </c>
      <c r="E513" s="5" t="s">
        <v>125</v>
      </c>
      <c r="F513" s="5" t="s">
        <v>988</v>
      </c>
      <c r="G513" s="5"/>
      <c r="H513" s="5" t="s">
        <v>802</v>
      </c>
      <c r="I513" s="5" t="s">
        <v>825</v>
      </c>
      <c r="J513" s="9" t="s">
        <v>9</v>
      </c>
      <c r="K513" s="5"/>
    </row>
    <row r="514" spans="1:11" x14ac:dyDescent="0.25">
      <c r="A514" s="10">
        <v>45443</v>
      </c>
      <c r="B514" s="9" t="s">
        <v>989</v>
      </c>
      <c r="C514" s="9">
        <v>77</v>
      </c>
      <c r="D514" s="9" t="s">
        <v>17</v>
      </c>
      <c r="E514" s="9" t="s">
        <v>43</v>
      </c>
      <c r="F514" s="9" t="s">
        <v>990</v>
      </c>
      <c r="G514" s="9" t="s">
        <v>33</v>
      </c>
      <c r="H514" s="5" t="s">
        <v>802</v>
      </c>
      <c r="I514" s="5" t="s">
        <v>825</v>
      </c>
      <c r="J514" s="9" t="s">
        <v>9</v>
      </c>
      <c r="K514" s="9"/>
    </row>
    <row r="515" spans="1:11" x14ac:dyDescent="0.25">
      <c r="A515" s="4">
        <v>45443</v>
      </c>
      <c r="B515" s="5" t="s">
        <v>991</v>
      </c>
      <c r="C515" s="5">
        <v>76</v>
      </c>
      <c r="D515" s="5" t="s">
        <v>1680</v>
      </c>
      <c r="E515" s="5" t="s">
        <v>992</v>
      </c>
      <c r="F515" s="5" t="s">
        <v>993</v>
      </c>
      <c r="G515" s="5"/>
      <c r="H515" s="5" t="s">
        <v>802</v>
      </c>
      <c r="I515" s="5" t="s">
        <v>825</v>
      </c>
      <c r="J515" s="9" t="s">
        <v>9</v>
      </c>
      <c r="K515" s="5"/>
    </row>
    <row r="516" spans="1:11" x14ac:dyDescent="0.25">
      <c r="A516" s="10">
        <v>45446</v>
      </c>
      <c r="B516" s="9" t="s">
        <v>994</v>
      </c>
      <c r="C516" s="9">
        <v>66</v>
      </c>
      <c r="D516" s="8" t="s">
        <v>8</v>
      </c>
      <c r="E516" s="9"/>
      <c r="F516" s="9" t="s">
        <v>995</v>
      </c>
      <c r="G516" s="9"/>
      <c r="H516" s="5" t="s">
        <v>802</v>
      </c>
      <c r="I516" s="9" t="s">
        <v>996</v>
      </c>
      <c r="J516" s="9" t="s">
        <v>9</v>
      </c>
      <c r="K516" s="9"/>
    </row>
    <row r="517" spans="1:11" x14ac:dyDescent="0.25">
      <c r="A517" s="4">
        <v>45446</v>
      </c>
      <c r="B517" s="5" t="s">
        <v>997</v>
      </c>
      <c r="C517" s="5">
        <v>66</v>
      </c>
      <c r="D517" s="8" t="s">
        <v>8</v>
      </c>
      <c r="E517" s="5" t="s">
        <v>998</v>
      </c>
      <c r="F517" s="5" t="s">
        <v>901</v>
      </c>
      <c r="G517" s="5"/>
      <c r="H517" s="5" t="s">
        <v>802</v>
      </c>
      <c r="I517" s="5" t="s">
        <v>497</v>
      </c>
      <c r="J517" s="9" t="s">
        <v>9</v>
      </c>
      <c r="K517" s="5"/>
    </row>
    <row r="518" spans="1:11" x14ac:dyDescent="0.25">
      <c r="A518" s="10">
        <v>45446</v>
      </c>
      <c r="B518" s="9" t="s">
        <v>999</v>
      </c>
      <c r="C518" s="9">
        <v>72</v>
      </c>
      <c r="D518" s="8" t="s">
        <v>8</v>
      </c>
      <c r="E518" s="9" t="s">
        <v>43</v>
      </c>
      <c r="F518" s="9" t="s">
        <v>1000</v>
      </c>
      <c r="G518" s="9"/>
      <c r="H518" s="5" t="s">
        <v>802</v>
      </c>
      <c r="I518" s="8" t="s">
        <v>253</v>
      </c>
      <c r="J518" s="9" t="s">
        <v>9</v>
      </c>
      <c r="K518" s="9"/>
    </row>
    <row r="519" spans="1:11" x14ac:dyDescent="0.25">
      <c r="A519" s="4">
        <v>45448</v>
      </c>
      <c r="B519" s="5" t="s">
        <v>1001</v>
      </c>
      <c r="C519" s="5">
        <v>77</v>
      </c>
      <c r="D519" s="5" t="s">
        <v>214</v>
      </c>
      <c r="E519" s="5" t="s">
        <v>967</v>
      </c>
      <c r="F519" s="5" t="s">
        <v>1002</v>
      </c>
      <c r="G519" s="5"/>
      <c r="H519" s="5" t="s">
        <v>802</v>
      </c>
      <c r="I519" s="5" t="s">
        <v>825</v>
      </c>
      <c r="J519" s="9" t="s">
        <v>9</v>
      </c>
      <c r="K519" s="5"/>
    </row>
    <row r="520" spans="1:11" x14ac:dyDescent="0.25">
      <c r="A520" s="10">
        <v>45450</v>
      </c>
      <c r="B520" s="9" t="s">
        <v>1003</v>
      </c>
      <c r="C520" s="9">
        <v>64</v>
      </c>
      <c r="D520" s="9" t="s">
        <v>1678</v>
      </c>
      <c r="E520" s="9" t="s">
        <v>43</v>
      </c>
      <c r="F520" s="9" t="s">
        <v>1004</v>
      </c>
      <c r="G520" s="9"/>
      <c r="H520" s="5" t="s">
        <v>802</v>
      </c>
      <c r="I520" s="8" t="s">
        <v>310</v>
      </c>
      <c r="J520" s="5" t="s">
        <v>24</v>
      </c>
      <c r="K520" s="9"/>
    </row>
    <row r="521" spans="1:11" x14ac:dyDescent="0.25">
      <c r="A521" s="4">
        <v>45450</v>
      </c>
      <c r="B521" s="5" t="s">
        <v>1005</v>
      </c>
      <c r="C521" s="5">
        <v>68</v>
      </c>
      <c r="D521" s="9" t="s">
        <v>1678</v>
      </c>
      <c r="E521" s="5" t="s">
        <v>43</v>
      </c>
      <c r="F521" s="5" t="s">
        <v>796</v>
      </c>
      <c r="G521" s="5" t="s">
        <v>33</v>
      </c>
      <c r="H521" s="5" t="s">
        <v>802</v>
      </c>
      <c r="I521" s="5" t="s">
        <v>825</v>
      </c>
      <c r="J521" s="9" t="s">
        <v>9</v>
      </c>
      <c r="K521" s="5"/>
    </row>
    <row r="522" spans="1:11" x14ac:dyDescent="0.25">
      <c r="A522" s="10">
        <v>45450</v>
      </c>
      <c r="B522" s="9" t="s">
        <v>1006</v>
      </c>
      <c r="C522" s="9">
        <v>69</v>
      </c>
      <c r="D522" s="9" t="s">
        <v>1678</v>
      </c>
      <c r="E522" s="9" t="s">
        <v>158</v>
      </c>
      <c r="F522" s="9" t="s">
        <v>930</v>
      </c>
      <c r="G522" s="9"/>
      <c r="H522" s="5" t="s">
        <v>802</v>
      </c>
      <c r="I522" s="5" t="s">
        <v>825</v>
      </c>
      <c r="J522" s="9" t="s">
        <v>9</v>
      </c>
      <c r="K522" s="9"/>
    </row>
    <row r="523" spans="1:11" x14ac:dyDescent="0.25">
      <c r="A523" s="4">
        <v>45450</v>
      </c>
      <c r="B523" s="5" t="s">
        <v>1007</v>
      </c>
      <c r="C523" s="5">
        <v>66</v>
      </c>
      <c r="D523" s="5" t="s">
        <v>214</v>
      </c>
      <c r="E523" s="5" t="s">
        <v>838</v>
      </c>
      <c r="F523" s="5" t="s">
        <v>1008</v>
      </c>
      <c r="G523" s="5"/>
      <c r="H523" s="5" t="s">
        <v>802</v>
      </c>
      <c r="I523" s="5" t="s">
        <v>825</v>
      </c>
      <c r="J523" s="9" t="s">
        <v>9</v>
      </c>
      <c r="K523" s="5"/>
    </row>
    <row r="524" spans="1:11" x14ac:dyDescent="0.25">
      <c r="A524" s="10">
        <v>45453</v>
      </c>
      <c r="B524" s="9" t="s">
        <v>1009</v>
      </c>
      <c r="C524" s="9"/>
      <c r="D524" s="8" t="s">
        <v>8</v>
      </c>
      <c r="E524" s="9" t="s">
        <v>1010</v>
      </c>
      <c r="F524" s="9" t="s">
        <v>1011</v>
      </c>
      <c r="G524" s="9"/>
      <c r="H524" s="5" t="s">
        <v>802</v>
      </c>
      <c r="I524" s="9" t="s">
        <v>1012</v>
      </c>
      <c r="J524" s="9" t="s">
        <v>9</v>
      </c>
      <c r="K524" s="9"/>
    </row>
    <row r="525" spans="1:11" x14ac:dyDescent="0.25">
      <c r="A525" s="4">
        <v>45453</v>
      </c>
      <c r="B525" s="5" t="s">
        <v>1013</v>
      </c>
      <c r="C525" s="5">
        <v>75</v>
      </c>
      <c r="D525" s="8" t="s">
        <v>120</v>
      </c>
      <c r="E525" s="5" t="s">
        <v>158</v>
      </c>
      <c r="F525" s="5" t="s">
        <v>901</v>
      </c>
      <c r="G525" s="5" t="s">
        <v>33</v>
      </c>
      <c r="H525" s="5" t="s">
        <v>802</v>
      </c>
      <c r="I525" s="5" t="s">
        <v>390</v>
      </c>
      <c r="J525" s="9" t="s">
        <v>9</v>
      </c>
      <c r="K525" s="5"/>
    </row>
    <row r="526" spans="1:11" x14ac:dyDescent="0.25">
      <c r="A526" s="10">
        <v>45453</v>
      </c>
      <c r="B526" s="9" t="s">
        <v>1014</v>
      </c>
      <c r="C526" s="9">
        <v>72</v>
      </c>
      <c r="D526" s="9" t="s">
        <v>17</v>
      </c>
      <c r="E526" s="9" t="s">
        <v>43</v>
      </c>
      <c r="F526" s="9" t="s">
        <v>720</v>
      </c>
      <c r="G526" s="9" t="s">
        <v>33</v>
      </c>
      <c r="H526" s="5" t="s">
        <v>802</v>
      </c>
      <c r="I526" s="9" t="s">
        <v>1012</v>
      </c>
      <c r="J526" s="9" t="s">
        <v>9</v>
      </c>
      <c r="K526" s="9"/>
    </row>
    <row r="527" spans="1:11" x14ac:dyDescent="0.25">
      <c r="A527" s="4">
        <v>45453</v>
      </c>
      <c r="B527" s="5" t="s">
        <v>251</v>
      </c>
      <c r="C527" s="5">
        <v>68</v>
      </c>
      <c r="D527" s="5" t="s">
        <v>692</v>
      </c>
      <c r="E527" s="5" t="s">
        <v>1015</v>
      </c>
      <c r="F527" s="5" t="s">
        <v>1016</v>
      </c>
      <c r="G527" s="5"/>
      <c r="H527" s="5" t="s">
        <v>802</v>
      </c>
      <c r="I527" s="5" t="s">
        <v>825</v>
      </c>
      <c r="J527" s="9" t="s">
        <v>9</v>
      </c>
      <c r="K527" s="5"/>
    </row>
    <row r="528" spans="1:11" x14ac:dyDescent="0.25">
      <c r="A528" s="10">
        <v>45453</v>
      </c>
      <c r="B528" s="9" t="s">
        <v>1017</v>
      </c>
      <c r="C528" s="9"/>
      <c r="D528" s="9" t="s">
        <v>111</v>
      </c>
      <c r="E528" s="9" t="s">
        <v>1019</v>
      </c>
      <c r="F528" s="9" t="s">
        <v>1018</v>
      </c>
      <c r="G528" s="9"/>
      <c r="H528" s="5" t="s">
        <v>802</v>
      </c>
      <c r="I528" s="5" t="s">
        <v>825</v>
      </c>
      <c r="J528" s="5" t="s">
        <v>24</v>
      </c>
      <c r="K528" s="9"/>
    </row>
    <row r="529" spans="1:11" x14ac:dyDescent="0.25">
      <c r="A529" s="4">
        <v>45454</v>
      </c>
      <c r="B529" s="5" t="s">
        <v>1020</v>
      </c>
      <c r="C529" s="5">
        <v>66</v>
      </c>
      <c r="D529" s="8" t="s">
        <v>163</v>
      </c>
      <c r="E529" s="5" t="s">
        <v>1021</v>
      </c>
      <c r="F529" s="5"/>
      <c r="G529" s="5"/>
      <c r="H529" s="5" t="s">
        <v>802</v>
      </c>
      <c r="I529" s="5" t="s">
        <v>825</v>
      </c>
      <c r="J529" s="9" t="s">
        <v>9</v>
      </c>
      <c r="K529" s="5"/>
    </row>
    <row r="530" spans="1:11" x14ac:dyDescent="0.25">
      <c r="A530" s="10">
        <v>45455</v>
      </c>
      <c r="B530" s="9" t="s">
        <v>1022</v>
      </c>
      <c r="C530" s="9">
        <v>74</v>
      </c>
      <c r="D530" s="8" t="s">
        <v>8</v>
      </c>
      <c r="E530" s="9" t="s">
        <v>960</v>
      </c>
      <c r="F530" s="9" t="s">
        <v>930</v>
      </c>
      <c r="G530" s="9" t="s">
        <v>33</v>
      </c>
      <c r="H530" s="5" t="s">
        <v>802</v>
      </c>
      <c r="I530" s="9" t="s">
        <v>825</v>
      </c>
      <c r="J530" s="9" t="s">
        <v>9</v>
      </c>
      <c r="K530" s="9"/>
    </row>
    <row r="531" spans="1:11" x14ac:dyDescent="0.25">
      <c r="A531" s="4">
        <v>45455</v>
      </c>
      <c r="B531" s="5" t="s">
        <v>1023</v>
      </c>
      <c r="C531" s="5">
        <v>86</v>
      </c>
      <c r="D531" s="8" t="s">
        <v>246</v>
      </c>
      <c r="E531" s="5" t="s">
        <v>125</v>
      </c>
      <c r="F531" s="5" t="s">
        <v>1008</v>
      </c>
      <c r="G531" s="5" t="s">
        <v>33</v>
      </c>
      <c r="H531" s="5" t="s">
        <v>802</v>
      </c>
      <c r="I531" s="5" t="s">
        <v>825</v>
      </c>
      <c r="J531" s="9" t="s">
        <v>9</v>
      </c>
      <c r="K531" s="5"/>
    </row>
    <row r="532" spans="1:11" x14ac:dyDescent="0.25">
      <c r="A532" s="10">
        <v>45455</v>
      </c>
      <c r="B532" s="9" t="s">
        <v>1024</v>
      </c>
      <c r="C532" s="9">
        <v>66</v>
      </c>
      <c r="D532" s="8" t="s">
        <v>246</v>
      </c>
      <c r="E532" s="9" t="s">
        <v>26</v>
      </c>
      <c r="F532" s="9" t="s">
        <v>1025</v>
      </c>
      <c r="G532" s="9"/>
      <c r="H532" s="5" t="s">
        <v>802</v>
      </c>
      <c r="I532" s="9" t="s">
        <v>825</v>
      </c>
      <c r="J532" s="9" t="s">
        <v>9</v>
      </c>
      <c r="K532" s="9"/>
    </row>
    <row r="533" spans="1:11" x14ac:dyDescent="0.25">
      <c r="A533" s="4">
        <v>45455</v>
      </c>
      <c r="B533" s="5" t="s">
        <v>1026</v>
      </c>
      <c r="C533" s="5">
        <v>24</v>
      </c>
      <c r="D533" s="5" t="s">
        <v>1680</v>
      </c>
      <c r="E533" s="5" t="s">
        <v>1027</v>
      </c>
      <c r="F533" s="5" t="s">
        <v>1028</v>
      </c>
      <c r="G533" s="5"/>
      <c r="H533" s="5" t="s">
        <v>802</v>
      </c>
      <c r="I533" s="5" t="s">
        <v>303</v>
      </c>
      <c r="J533" s="5" t="s">
        <v>24</v>
      </c>
      <c r="K533" s="5"/>
    </row>
    <row r="534" spans="1:11" x14ac:dyDescent="0.25">
      <c r="A534" s="10">
        <v>45456</v>
      </c>
      <c r="B534" s="9" t="s">
        <v>1029</v>
      </c>
      <c r="C534" s="9">
        <v>61</v>
      </c>
      <c r="D534" s="5" t="s">
        <v>1680</v>
      </c>
      <c r="E534" s="9" t="s">
        <v>273</v>
      </c>
      <c r="F534" s="9" t="s">
        <v>1030</v>
      </c>
      <c r="G534" s="9"/>
      <c r="H534" s="5" t="s">
        <v>802</v>
      </c>
      <c r="I534" s="9" t="s">
        <v>825</v>
      </c>
      <c r="J534" s="9" t="s">
        <v>9</v>
      </c>
      <c r="K534" s="9"/>
    </row>
    <row r="535" spans="1:11" x14ac:dyDescent="0.25">
      <c r="A535" s="4">
        <v>45456</v>
      </c>
      <c r="B535" s="5" t="s">
        <v>1005</v>
      </c>
      <c r="C535" s="5">
        <v>67</v>
      </c>
      <c r="D535" s="8" t="s">
        <v>163</v>
      </c>
      <c r="E535" s="5" t="s">
        <v>1031</v>
      </c>
      <c r="F535" s="5"/>
      <c r="G535" s="5"/>
      <c r="H535" s="5" t="s">
        <v>802</v>
      </c>
      <c r="I535" s="5" t="s">
        <v>825</v>
      </c>
      <c r="J535" s="9" t="s">
        <v>9</v>
      </c>
      <c r="K535" s="5"/>
    </row>
    <row r="536" spans="1:11" x14ac:dyDescent="0.25">
      <c r="A536" s="10">
        <v>45456</v>
      </c>
      <c r="B536" s="9" t="s">
        <v>1032</v>
      </c>
      <c r="C536" s="9">
        <v>74</v>
      </c>
      <c r="D536" s="5" t="s">
        <v>1680</v>
      </c>
      <c r="E536" s="9" t="s">
        <v>125</v>
      </c>
      <c r="F536" s="9" t="s">
        <v>39</v>
      </c>
      <c r="G536" s="9" t="s">
        <v>33</v>
      </c>
      <c r="H536" s="5" t="s">
        <v>802</v>
      </c>
      <c r="I536" s="9" t="s">
        <v>825</v>
      </c>
      <c r="J536" s="9" t="s">
        <v>9</v>
      </c>
      <c r="K536" s="9"/>
    </row>
    <row r="537" spans="1:11" x14ac:dyDescent="0.25">
      <c r="A537" s="4">
        <v>45456</v>
      </c>
      <c r="B537" s="5" t="s">
        <v>1033</v>
      </c>
      <c r="C537" s="5">
        <v>61</v>
      </c>
      <c r="D537" s="5" t="s">
        <v>1680</v>
      </c>
      <c r="E537" s="5" t="s">
        <v>125</v>
      </c>
      <c r="F537" s="5" t="s">
        <v>39</v>
      </c>
      <c r="G537" s="5"/>
      <c r="H537" s="5" t="s">
        <v>802</v>
      </c>
      <c r="I537" s="5" t="s">
        <v>825</v>
      </c>
      <c r="J537" s="9" t="s">
        <v>9</v>
      </c>
      <c r="K537" s="5"/>
    </row>
    <row r="538" spans="1:11" x14ac:dyDescent="0.25">
      <c r="A538" s="10">
        <v>45461</v>
      </c>
      <c r="B538" s="9" t="s">
        <v>1034</v>
      </c>
      <c r="C538" s="9">
        <v>89</v>
      </c>
      <c r="D538" s="8" t="s">
        <v>246</v>
      </c>
      <c r="E538" s="9" t="s">
        <v>125</v>
      </c>
      <c r="F538" s="9" t="s">
        <v>1035</v>
      </c>
      <c r="G538" s="9" t="s">
        <v>33</v>
      </c>
      <c r="H538" s="5" t="s">
        <v>802</v>
      </c>
      <c r="I538" s="9" t="s">
        <v>825</v>
      </c>
      <c r="J538" s="9" t="s">
        <v>9</v>
      </c>
      <c r="K538" s="9"/>
    </row>
    <row r="539" spans="1:11" x14ac:dyDescent="0.25">
      <c r="A539" s="4">
        <v>45461</v>
      </c>
      <c r="B539" s="5" t="s">
        <v>1036</v>
      </c>
      <c r="C539" s="5">
        <v>84</v>
      </c>
      <c r="D539" s="8" t="s">
        <v>246</v>
      </c>
      <c r="E539" s="5" t="s">
        <v>623</v>
      </c>
      <c r="F539" s="5" t="s">
        <v>1037</v>
      </c>
      <c r="G539" s="5" t="s">
        <v>33</v>
      </c>
      <c r="H539" s="5" t="s">
        <v>802</v>
      </c>
      <c r="I539" s="5" t="s">
        <v>825</v>
      </c>
      <c r="J539" s="9" t="s">
        <v>9</v>
      </c>
      <c r="K539" s="5"/>
    </row>
    <row r="540" spans="1:11" x14ac:dyDescent="0.25">
      <c r="A540" s="10">
        <v>45462</v>
      </c>
      <c r="B540" s="9" t="s">
        <v>1038</v>
      </c>
      <c r="C540" s="9">
        <v>56</v>
      </c>
      <c r="D540" s="5" t="s">
        <v>100</v>
      </c>
      <c r="E540" s="9" t="s">
        <v>56</v>
      </c>
      <c r="F540" s="9" t="s">
        <v>924</v>
      </c>
      <c r="G540" s="9"/>
      <c r="H540" s="5" t="s">
        <v>802</v>
      </c>
      <c r="I540" s="9" t="s">
        <v>825</v>
      </c>
      <c r="J540" s="5" t="s">
        <v>24</v>
      </c>
      <c r="K540" s="9"/>
    </row>
    <row r="541" spans="1:11" x14ac:dyDescent="0.25">
      <c r="A541" s="4">
        <v>45462</v>
      </c>
      <c r="B541" s="5" t="s">
        <v>1039</v>
      </c>
      <c r="C541" s="5">
        <v>63</v>
      </c>
      <c r="D541" s="5" t="s">
        <v>692</v>
      </c>
      <c r="E541" s="5" t="s">
        <v>56</v>
      </c>
      <c r="F541" s="5" t="s">
        <v>1040</v>
      </c>
      <c r="G541" s="5"/>
      <c r="H541" s="5" t="s">
        <v>802</v>
      </c>
      <c r="I541" s="5" t="s">
        <v>825</v>
      </c>
      <c r="J541" s="9" t="s">
        <v>9</v>
      </c>
      <c r="K541" s="5"/>
    </row>
    <row r="542" spans="1:11" x14ac:dyDescent="0.25">
      <c r="A542" s="10">
        <v>45462</v>
      </c>
      <c r="B542" s="9" t="s">
        <v>1041</v>
      </c>
      <c r="C542" s="9">
        <v>85</v>
      </c>
      <c r="D542" s="5" t="s">
        <v>1680</v>
      </c>
      <c r="E542" s="9" t="s">
        <v>273</v>
      </c>
      <c r="F542" s="9" t="s">
        <v>1030</v>
      </c>
      <c r="G542" s="9"/>
      <c r="H542" s="5" t="s">
        <v>802</v>
      </c>
      <c r="I542" s="9" t="s">
        <v>825</v>
      </c>
      <c r="J542" s="9" t="s">
        <v>9</v>
      </c>
      <c r="K542" s="9"/>
    </row>
    <row r="543" spans="1:11" x14ac:dyDescent="0.25">
      <c r="A543" s="4">
        <v>45463</v>
      </c>
      <c r="B543" s="5" t="s">
        <v>1042</v>
      </c>
      <c r="C543" s="5">
        <v>23</v>
      </c>
      <c r="D543" s="9" t="s">
        <v>153</v>
      </c>
      <c r="E543" s="5" t="s">
        <v>1043</v>
      </c>
      <c r="F543" s="5" t="s">
        <v>1044</v>
      </c>
      <c r="G543" s="5"/>
      <c r="H543" s="5" t="s">
        <v>802</v>
      </c>
      <c r="I543" s="5" t="s">
        <v>825</v>
      </c>
      <c r="J543" s="5" t="s">
        <v>24</v>
      </c>
      <c r="K543" s="5"/>
    </row>
    <row r="544" spans="1:11" x14ac:dyDescent="0.25">
      <c r="A544" s="10">
        <v>45468</v>
      </c>
      <c r="B544" s="9" t="s">
        <v>1041</v>
      </c>
      <c r="C544" s="9">
        <v>85</v>
      </c>
      <c r="D544" s="5" t="s">
        <v>1680</v>
      </c>
      <c r="E544" s="9" t="s">
        <v>1045</v>
      </c>
      <c r="F544" s="9" t="s">
        <v>1030</v>
      </c>
      <c r="G544" s="9" t="s">
        <v>33</v>
      </c>
      <c r="H544" s="5" t="s">
        <v>802</v>
      </c>
      <c r="I544" s="5" t="s">
        <v>825</v>
      </c>
      <c r="J544" s="9" t="s">
        <v>9</v>
      </c>
      <c r="K544" s="9"/>
    </row>
    <row r="545" spans="1:11" x14ac:dyDescent="0.25">
      <c r="A545" s="4">
        <v>45468</v>
      </c>
      <c r="B545" s="5" t="s">
        <v>1046</v>
      </c>
      <c r="C545" s="5">
        <v>79</v>
      </c>
      <c r="D545" s="9" t="s">
        <v>17</v>
      </c>
      <c r="E545" s="5" t="s">
        <v>43</v>
      </c>
      <c r="F545" s="5" t="s">
        <v>1047</v>
      </c>
      <c r="G545" s="5" t="s">
        <v>33</v>
      </c>
      <c r="H545" s="5" t="s">
        <v>802</v>
      </c>
      <c r="I545" s="5" t="s">
        <v>825</v>
      </c>
      <c r="J545" s="9" t="s">
        <v>9</v>
      </c>
      <c r="K545" s="5"/>
    </row>
    <row r="546" spans="1:11" x14ac:dyDescent="0.25">
      <c r="A546" s="10">
        <v>45469</v>
      </c>
      <c r="B546" s="9" t="s">
        <v>1050</v>
      </c>
      <c r="C546" s="9">
        <v>21</v>
      </c>
      <c r="D546" s="8" t="s">
        <v>8</v>
      </c>
      <c r="E546" s="9" t="s">
        <v>1049</v>
      </c>
      <c r="F546" s="9" t="s">
        <v>1048</v>
      </c>
      <c r="G546" s="9"/>
      <c r="H546" s="5" t="s">
        <v>802</v>
      </c>
      <c r="I546" s="9" t="s">
        <v>825</v>
      </c>
      <c r="J546" s="5" t="s">
        <v>24</v>
      </c>
      <c r="K546" s="9"/>
    </row>
    <row r="547" spans="1:11" x14ac:dyDescent="0.25">
      <c r="A547" s="4">
        <v>45469</v>
      </c>
      <c r="B547" s="5" t="s">
        <v>1051</v>
      </c>
      <c r="C547" s="5">
        <v>59</v>
      </c>
      <c r="D547" s="8" t="s">
        <v>8</v>
      </c>
      <c r="E547" s="5" t="s">
        <v>56</v>
      </c>
      <c r="F547" s="5" t="s">
        <v>930</v>
      </c>
      <c r="G547" s="5" t="s">
        <v>539</v>
      </c>
      <c r="H547" s="5" t="s">
        <v>802</v>
      </c>
      <c r="I547" s="5" t="s">
        <v>825</v>
      </c>
      <c r="J547" s="9" t="s">
        <v>9</v>
      </c>
      <c r="K547" s="5"/>
    </row>
    <row r="548" spans="1:11" x14ac:dyDescent="0.25">
      <c r="A548" s="14">
        <v>45469</v>
      </c>
      <c r="B548" s="9" t="s">
        <v>1052</v>
      </c>
      <c r="C548" s="9">
        <v>83</v>
      </c>
      <c r="D548" s="5" t="s">
        <v>1680</v>
      </c>
      <c r="E548" s="9" t="s">
        <v>125</v>
      </c>
      <c r="F548" s="9" t="s">
        <v>1035</v>
      </c>
      <c r="G548" s="9" t="s">
        <v>33</v>
      </c>
      <c r="H548" s="5" t="s">
        <v>802</v>
      </c>
      <c r="I548" s="9" t="s">
        <v>825</v>
      </c>
      <c r="J548" s="9" t="s">
        <v>9</v>
      </c>
      <c r="K548" s="9"/>
    </row>
    <row r="549" spans="1:11" x14ac:dyDescent="0.25">
      <c r="A549" s="4">
        <v>45469</v>
      </c>
      <c r="B549" s="5" t="s">
        <v>1053</v>
      </c>
      <c r="C549" s="5">
        <v>70</v>
      </c>
      <c r="D549" s="5"/>
      <c r="E549" s="5" t="s">
        <v>56</v>
      </c>
      <c r="F549" s="5" t="s">
        <v>930</v>
      </c>
      <c r="G549" s="5" t="s">
        <v>539</v>
      </c>
      <c r="H549" s="5" t="s">
        <v>802</v>
      </c>
      <c r="I549" s="5" t="s">
        <v>825</v>
      </c>
      <c r="J549" s="9" t="s">
        <v>9</v>
      </c>
      <c r="K549" s="5"/>
    </row>
    <row r="550" spans="1:11" x14ac:dyDescent="0.25">
      <c r="A550" s="10">
        <v>45469</v>
      </c>
      <c r="B550" s="9" t="s">
        <v>1054</v>
      </c>
      <c r="C550" s="9">
        <v>69</v>
      </c>
      <c r="D550" s="8" t="s">
        <v>163</v>
      </c>
      <c r="E550" s="9" t="s">
        <v>1021</v>
      </c>
      <c r="F550" s="9" t="s">
        <v>1055</v>
      </c>
      <c r="G550" s="9"/>
      <c r="H550" s="5" t="s">
        <v>802</v>
      </c>
      <c r="I550" s="5" t="s">
        <v>825</v>
      </c>
      <c r="J550" s="9" t="s">
        <v>9</v>
      </c>
      <c r="K550" s="9"/>
    </row>
    <row r="551" spans="1:11" x14ac:dyDescent="0.25">
      <c r="A551" s="4">
        <v>45469</v>
      </c>
      <c r="B551" s="5" t="s">
        <v>1056</v>
      </c>
      <c r="C551" s="5">
        <v>70</v>
      </c>
      <c r="D551" s="9" t="s">
        <v>17</v>
      </c>
      <c r="E551" s="5" t="s">
        <v>43</v>
      </c>
      <c r="F551" s="5" t="s">
        <v>796</v>
      </c>
      <c r="G551" s="5" t="s">
        <v>33</v>
      </c>
      <c r="H551" s="5" t="s">
        <v>802</v>
      </c>
      <c r="I551" s="5" t="s">
        <v>825</v>
      </c>
      <c r="J551" s="9" t="s">
        <v>9</v>
      </c>
      <c r="K551" s="5"/>
    </row>
    <row r="552" spans="1:11" x14ac:dyDescent="0.25">
      <c r="A552" s="10">
        <v>45471</v>
      </c>
      <c r="B552" s="9" t="s">
        <v>1057</v>
      </c>
      <c r="C552" s="9">
        <v>85</v>
      </c>
      <c r="D552" s="5" t="s">
        <v>1680</v>
      </c>
      <c r="E552" s="9" t="s">
        <v>273</v>
      </c>
      <c r="F552" s="9" t="s">
        <v>1058</v>
      </c>
      <c r="G552" s="9" t="s">
        <v>33</v>
      </c>
      <c r="H552" s="5" t="s">
        <v>802</v>
      </c>
      <c r="I552" s="9" t="s">
        <v>825</v>
      </c>
      <c r="J552" s="9" t="s">
        <v>9</v>
      </c>
      <c r="K552" s="9"/>
    </row>
    <row r="553" spans="1:11" x14ac:dyDescent="0.25">
      <c r="A553" s="4">
        <v>45471</v>
      </c>
      <c r="B553" s="5" t="s">
        <v>1059</v>
      </c>
      <c r="C553" s="5">
        <v>54</v>
      </c>
      <c r="D553" s="9" t="s">
        <v>153</v>
      </c>
      <c r="E553" s="5" t="s">
        <v>43</v>
      </c>
      <c r="F553" s="5" t="s">
        <v>1060</v>
      </c>
      <c r="G553" s="5"/>
      <c r="H553" s="5" t="s">
        <v>802</v>
      </c>
      <c r="I553" s="5" t="s">
        <v>825</v>
      </c>
      <c r="J553" s="9" t="s">
        <v>9</v>
      </c>
      <c r="K553" s="5"/>
    </row>
    <row r="554" spans="1:11" x14ac:dyDescent="0.25">
      <c r="A554" s="10">
        <v>45471</v>
      </c>
      <c r="B554" s="9" t="s">
        <v>1061</v>
      </c>
      <c r="C554" s="9">
        <v>65</v>
      </c>
      <c r="D554" s="8" t="s">
        <v>8</v>
      </c>
      <c r="E554" s="9" t="s">
        <v>112</v>
      </c>
      <c r="F554" s="9" t="s">
        <v>1062</v>
      </c>
      <c r="G554" s="9"/>
      <c r="H554" s="5" t="s">
        <v>802</v>
      </c>
      <c r="I554" s="9" t="s">
        <v>825</v>
      </c>
      <c r="J554" s="9" t="s">
        <v>9</v>
      </c>
      <c r="K554" s="9"/>
    </row>
    <row r="555" spans="1:11" x14ac:dyDescent="0.25">
      <c r="A555" s="4">
        <v>45471</v>
      </c>
      <c r="B555" s="5" t="s">
        <v>1063</v>
      </c>
      <c r="C555" s="5">
        <v>76</v>
      </c>
      <c r="D555" s="8" t="s">
        <v>8</v>
      </c>
      <c r="E555" s="5" t="s">
        <v>43</v>
      </c>
      <c r="F555" s="5" t="s">
        <v>1064</v>
      </c>
      <c r="G555" s="5" t="s">
        <v>33</v>
      </c>
      <c r="H555" s="5" t="s">
        <v>802</v>
      </c>
      <c r="I555" s="5" t="s">
        <v>303</v>
      </c>
      <c r="J555" s="9" t="s">
        <v>9</v>
      </c>
      <c r="K555" s="5"/>
    </row>
    <row r="556" spans="1:11" x14ac:dyDescent="0.25">
      <c r="A556" s="10">
        <v>45481</v>
      </c>
      <c r="B556" s="9" t="s">
        <v>1065</v>
      </c>
      <c r="C556" s="9">
        <v>15</v>
      </c>
      <c r="D556" s="9" t="s">
        <v>1551</v>
      </c>
      <c r="E556" s="9" t="s">
        <v>612</v>
      </c>
      <c r="F556" s="9" t="s">
        <v>210</v>
      </c>
      <c r="G556" s="9"/>
      <c r="H556" s="5" t="s">
        <v>802</v>
      </c>
      <c r="I556" s="9" t="s">
        <v>234</v>
      </c>
      <c r="J556" s="5" t="s">
        <v>24</v>
      </c>
      <c r="K556" s="9"/>
    </row>
    <row r="557" spans="1:11" x14ac:dyDescent="0.25">
      <c r="A557" s="4">
        <v>45485</v>
      </c>
      <c r="B557" s="5" t="s">
        <v>1066</v>
      </c>
      <c r="C557" s="5">
        <v>73</v>
      </c>
      <c r="D557" s="5" t="s">
        <v>692</v>
      </c>
      <c r="E557" s="5" t="s">
        <v>56</v>
      </c>
      <c r="F557" s="5" t="s">
        <v>1067</v>
      </c>
      <c r="G557" s="5" t="s">
        <v>33</v>
      </c>
      <c r="H557" s="5" t="s">
        <v>802</v>
      </c>
      <c r="I557" s="5" t="s">
        <v>825</v>
      </c>
      <c r="J557" s="9" t="s">
        <v>9</v>
      </c>
      <c r="K557" s="5"/>
    </row>
    <row r="558" spans="1:11" x14ac:dyDescent="0.25">
      <c r="A558" s="10">
        <v>45485</v>
      </c>
      <c r="B558" s="9" t="s">
        <v>1068</v>
      </c>
      <c r="C558" s="9">
        <v>77</v>
      </c>
      <c r="D558" s="9" t="s">
        <v>17</v>
      </c>
      <c r="E558" s="9" t="s">
        <v>56</v>
      </c>
      <c r="F558" s="9" t="s">
        <v>899</v>
      </c>
      <c r="G558" s="9" t="s">
        <v>33</v>
      </c>
      <c r="H558" s="5" t="s">
        <v>802</v>
      </c>
      <c r="I558" s="9" t="s">
        <v>825</v>
      </c>
      <c r="J558" s="9" t="s">
        <v>9</v>
      </c>
      <c r="K558" s="9"/>
    </row>
    <row r="559" spans="1:11" x14ac:dyDescent="0.25">
      <c r="A559" s="4">
        <v>45485</v>
      </c>
      <c r="B559" s="5" t="s">
        <v>941</v>
      </c>
      <c r="C559" s="5">
        <v>76</v>
      </c>
      <c r="D559" s="8" t="s">
        <v>163</v>
      </c>
      <c r="E559" s="5" t="s">
        <v>125</v>
      </c>
      <c r="F559" s="5" t="s">
        <v>1069</v>
      </c>
      <c r="G559" s="5"/>
      <c r="H559" s="5" t="s">
        <v>802</v>
      </c>
      <c r="I559" s="5" t="s">
        <v>825</v>
      </c>
      <c r="J559" s="9" t="s">
        <v>9</v>
      </c>
      <c r="K559" s="5"/>
    </row>
    <row r="560" spans="1:11" x14ac:dyDescent="0.25">
      <c r="A560" s="10">
        <v>45485</v>
      </c>
      <c r="B560" s="9" t="s">
        <v>1070</v>
      </c>
      <c r="C560" s="9">
        <v>74</v>
      </c>
      <c r="D560" s="5" t="s">
        <v>665</v>
      </c>
      <c r="E560" s="9" t="s">
        <v>1071</v>
      </c>
      <c r="F560" s="9"/>
      <c r="G560" s="9"/>
      <c r="H560" s="5" t="s">
        <v>802</v>
      </c>
      <c r="I560" s="8" t="s">
        <v>417</v>
      </c>
      <c r="J560" s="9" t="s">
        <v>9</v>
      </c>
      <c r="K560" s="9"/>
    </row>
    <row r="561" spans="1:11" x14ac:dyDescent="0.25">
      <c r="A561" s="4">
        <v>45485</v>
      </c>
      <c r="B561" s="5" t="s">
        <v>1056</v>
      </c>
      <c r="C561" s="5"/>
      <c r="D561" s="9" t="s">
        <v>17</v>
      </c>
      <c r="E561" s="5" t="s">
        <v>43</v>
      </c>
      <c r="F561" s="5" t="s">
        <v>1072</v>
      </c>
      <c r="G561" s="5"/>
      <c r="H561" s="5" t="s">
        <v>802</v>
      </c>
      <c r="I561" s="5" t="s">
        <v>825</v>
      </c>
      <c r="J561" s="9" t="s">
        <v>9</v>
      </c>
      <c r="K561" s="5"/>
    </row>
    <row r="562" spans="1:11" x14ac:dyDescent="0.25">
      <c r="A562" s="10">
        <v>45488</v>
      </c>
      <c r="B562" s="9" t="s">
        <v>1073</v>
      </c>
      <c r="C562" s="9">
        <v>68</v>
      </c>
      <c r="D562" s="8" t="s">
        <v>246</v>
      </c>
      <c r="E562" s="9" t="s">
        <v>819</v>
      </c>
      <c r="F562" s="9" t="s">
        <v>1074</v>
      </c>
      <c r="G562" s="9"/>
      <c r="H562" s="5" t="s">
        <v>802</v>
      </c>
      <c r="I562" s="9" t="s">
        <v>825</v>
      </c>
      <c r="J562" s="9" t="s">
        <v>9</v>
      </c>
      <c r="K562" s="9"/>
    </row>
    <row r="563" spans="1:11" x14ac:dyDescent="0.25">
      <c r="A563" s="4">
        <v>45490</v>
      </c>
      <c r="B563" s="5" t="s">
        <v>1075</v>
      </c>
      <c r="C563" s="5">
        <v>70</v>
      </c>
      <c r="D563" s="8" t="s">
        <v>163</v>
      </c>
      <c r="E563" s="5" t="s">
        <v>1076</v>
      </c>
      <c r="F563" s="5" t="s">
        <v>1077</v>
      </c>
      <c r="G563" s="5" t="s">
        <v>33</v>
      </c>
      <c r="H563" s="5" t="s">
        <v>802</v>
      </c>
      <c r="I563" s="5" t="s">
        <v>825</v>
      </c>
      <c r="J563" s="9" t="s">
        <v>9</v>
      </c>
      <c r="K563" s="5"/>
    </row>
    <row r="564" spans="1:11" x14ac:dyDescent="0.25">
      <c r="A564" s="10">
        <v>45490</v>
      </c>
      <c r="B564" s="9" t="s">
        <v>1078</v>
      </c>
      <c r="C564" s="9">
        <v>47</v>
      </c>
      <c r="D564" s="9" t="s">
        <v>17</v>
      </c>
      <c r="E564" s="9" t="s">
        <v>112</v>
      </c>
      <c r="F564" s="9" t="s">
        <v>1079</v>
      </c>
      <c r="G564" s="9"/>
      <c r="H564" s="5" t="s">
        <v>802</v>
      </c>
      <c r="I564" s="9" t="s">
        <v>825</v>
      </c>
      <c r="J564" s="5" t="s">
        <v>24</v>
      </c>
      <c r="K564" s="9"/>
    </row>
    <row r="565" spans="1:11" x14ac:dyDescent="0.25">
      <c r="A565" s="4">
        <v>45490</v>
      </c>
      <c r="B565" s="5" t="s">
        <v>1080</v>
      </c>
      <c r="C565" s="5">
        <v>50</v>
      </c>
      <c r="D565" s="8" t="s">
        <v>163</v>
      </c>
      <c r="E565" s="5" t="s">
        <v>1081</v>
      </c>
      <c r="F565" s="5" t="s">
        <v>1082</v>
      </c>
      <c r="G565" s="5"/>
      <c r="H565" s="5" t="s">
        <v>802</v>
      </c>
      <c r="I565" s="5" t="s">
        <v>825</v>
      </c>
      <c r="J565" s="5" t="s">
        <v>24</v>
      </c>
      <c r="K565" s="5"/>
    </row>
    <row r="566" spans="1:11" x14ac:dyDescent="0.25">
      <c r="A566" s="10">
        <v>45490</v>
      </c>
      <c r="B566" s="9" t="s">
        <v>1083</v>
      </c>
      <c r="C566" s="9">
        <v>60</v>
      </c>
      <c r="D566" s="9" t="s">
        <v>153</v>
      </c>
      <c r="E566" s="9" t="s">
        <v>1084</v>
      </c>
      <c r="F566" s="9" t="s">
        <v>930</v>
      </c>
      <c r="G566" s="9"/>
      <c r="H566" s="5" t="s">
        <v>802</v>
      </c>
      <c r="I566" s="9" t="s">
        <v>825</v>
      </c>
      <c r="J566" s="5" t="s">
        <v>24</v>
      </c>
      <c r="K566" s="9"/>
    </row>
    <row r="567" spans="1:11" x14ac:dyDescent="0.25">
      <c r="A567" s="4">
        <v>45490</v>
      </c>
      <c r="B567" s="5" t="s">
        <v>1085</v>
      </c>
      <c r="C567" s="5">
        <v>85</v>
      </c>
      <c r="D567" s="8" t="s">
        <v>163</v>
      </c>
      <c r="E567" s="5" t="s">
        <v>125</v>
      </c>
      <c r="F567" s="5" t="s">
        <v>39</v>
      </c>
      <c r="G567" s="5" t="s">
        <v>33</v>
      </c>
      <c r="H567" s="5" t="s">
        <v>802</v>
      </c>
      <c r="I567" s="8" t="s">
        <v>417</v>
      </c>
      <c r="J567" s="9" t="s">
        <v>9</v>
      </c>
      <c r="K567" s="5"/>
    </row>
    <row r="568" spans="1:11" x14ac:dyDescent="0.25">
      <c r="A568" s="10">
        <v>45490</v>
      </c>
      <c r="B568" s="9" t="s">
        <v>1086</v>
      </c>
      <c r="C568" s="9">
        <v>70</v>
      </c>
      <c r="D568" s="8" t="s">
        <v>8</v>
      </c>
      <c r="E568" s="9" t="s">
        <v>78</v>
      </c>
      <c r="F568" s="9" t="s">
        <v>1087</v>
      </c>
      <c r="G568" s="9" t="s">
        <v>33</v>
      </c>
      <c r="H568" s="5" t="s">
        <v>802</v>
      </c>
      <c r="I568" s="9" t="s">
        <v>825</v>
      </c>
      <c r="J568" s="9" t="s">
        <v>9</v>
      </c>
      <c r="K568" s="9"/>
    </row>
    <row r="569" spans="1:11" x14ac:dyDescent="0.25">
      <c r="A569" s="4">
        <v>45491</v>
      </c>
      <c r="B569" s="5" t="s">
        <v>1088</v>
      </c>
      <c r="C569" s="5"/>
      <c r="D569" s="9" t="s">
        <v>17</v>
      </c>
      <c r="E569" s="5" t="s">
        <v>112</v>
      </c>
      <c r="F569" s="5" t="s">
        <v>1089</v>
      </c>
      <c r="G569" s="5"/>
      <c r="H569" s="5" t="s">
        <v>802</v>
      </c>
      <c r="I569" s="5" t="s">
        <v>497</v>
      </c>
      <c r="J569" s="5" t="s">
        <v>24</v>
      </c>
      <c r="K569" s="5"/>
    </row>
    <row r="570" spans="1:11" x14ac:dyDescent="0.25">
      <c r="A570" s="10">
        <v>45491</v>
      </c>
      <c r="B570" s="9" t="s">
        <v>1090</v>
      </c>
      <c r="C570" s="9">
        <v>32</v>
      </c>
      <c r="D570" s="9" t="s">
        <v>17</v>
      </c>
      <c r="E570" s="9" t="s">
        <v>112</v>
      </c>
      <c r="F570" s="9" t="s">
        <v>1089</v>
      </c>
      <c r="G570" s="9"/>
      <c r="H570" s="5" t="s">
        <v>802</v>
      </c>
      <c r="I570" s="9" t="s">
        <v>1091</v>
      </c>
      <c r="J570" s="5" t="s">
        <v>24</v>
      </c>
      <c r="K570" s="9"/>
    </row>
    <row r="571" spans="1:11" x14ac:dyDescent="0.25">
      <c r="A571" s="4">
        <v>45491</v>
      </c>
      <c r="B571" s="5" t="s">
        <v>1092</v>
      </c>
      <c r="C571" s="5">
        <v>79</v>
      </c>
      <c r="D571" s="9" t="s">
        <v>153</v>
      </c>
      <c r="E571" s="5" t="s">
        <v>43</v>
      </c>
      <c r="F571" s="5" t="s">
        <v>1093</v>
      </c>
      <c r="G571" s="5"/>
      <c r="H571" s="5" t="s">
        <v>802</v>
      </c>
      <c r="I571" s="5" t="s">
        <v>825</v>
      </c>
      <c r="J571" s="9" t="s">
        <v>9</v>
      </c>
      <c r="K571" s="5"/>
    </row>
    <row r="572" spans="1:11" x14ac:dyDescent="0.25">
      <c r="A572" s="10">
        <v>45495</v>
      </c>
      <c r="B572" s="9">
        <v>0</v>
      </c>
      <c r="C572" s="9">
        <v>45</v>
      </c>
      <c r="D572" s="9" t="s">
        <v>1551</v>
      </c>
      <c r="E572" s="9" t="s">
        <v>112</v>
      </c>
      <c r="F572" s="9" t="s">
        <v>1094</v>
      </c>
      <c r="G572" s="9"/>
      <c r="H572" s="5" t="s">
        <v>802</v>
      </c>
      <c r="I572" s="9" t="s">
        <v>632</v>
      </c>
      <c r="J572" s="5" t="s">
        <v>24</v>
      </c>
      <c r="K572" s="9"/>
    </row>
    <row r="573" spans="1:11" x14ac:dyDescent="0.25">
      <c r="A573" s="4">
        <v>45497</v>
      </c>
      <c r="B573" s="5" t="s">
        <v>1095</v>
      </c>
      <c r="C573" s="5">
        <v>44</v>
      </c>
      <c r="D573" s="5" t="s">
        <v>100</v>
      </c>
      <c r="E573" s="5" t="s">
        <v>91</v>
      </c>
      <c r="F573" s="5" t="s">
        <v>1096</v>
      </c>
      <c r="G573" s="5"/>
      <c r="H573" s="5" t="s">
        <v>802</v>
      </c>
      <c r="I573" s="5" t="s">
        <v>825</v>
      </c>
      <c r="J573" s="5" t="s">
        <v>24</v>
      </c>
      <c r="K573" s="5"/>
    </row>
    <row r="574" spans="1:11" x14ac:dyDescent="0.25">
      <c r="A574" s="10">
        <v>45497</v>
      </c>
      <c r="B574" s="9" t="s">
        <v>1097</v>
      </c>
      <c r="C574" s="9">
        <v>72</v>
      </c>
      <c r="D574" s="9" t="s">
        <v>111</v>
      </c>
      <c r="E574" s="9" t="s">
        <v>91</v>
      </c>
      <c r="F574" s="9" t="s">
        <v>1098</v>
      </c>
      <c r="G574" s="9" t="s">
        <v>33</v>
      </c>
      <c r="H574" s="5" t="s">
        <v>802</v>
      </c>
      <c r="I574" s="9" t="s">
        <v>632</v>
      </c>
      <c r="J574" s="9" t="s">
        <v>9</v>
      </c>
      <c r="K574" s="9"/>
    </row>
    <row r="575" spans="1:11" x14ac:dyDescent="0.25">
      <c r="A575" s="4">
        <v>45499</v>
      </c>
      <c r="B575" s="5" t="s">
        <v>1099</v>
      </c>
      <c r="C575" s="5">
        <v>71</v>
      </c>
      <c r="D575" s="9" t="s">
        <v>111</v>
      </c>
      <c r="E575" s="5" t="s">
        <v>1100</v>
      </c>
      <c r="F575" s="5" t="s">
        <v>1101</v>
      </c>
      <c r="G575" s="5" t="s">
        <v>33</v>
      </c>
      <c r="H575" s="5" t="s">
        <v>802</v>
      </c>
      <c r="I575" s="5" t="s">
        <v>825</v>
      </c>
      <c r="J575" s="9" t="s">
        <v>9</v>
      </c>
      <c r="K575" s="5"/>
    </row>
    <row r="576" spans="1:11" x14ac:dyDescent="0.25">
      <c r="A576" s="10">
        <v>45499</v>
      </c>
      <c r="B576" s="9" t="s">
        <v>1102</v>
      </c>
      <c r="C576" s="9">
        <v>65</v>
      </c>
      <c r="D576" s="9" t="s">
        <v>153</v>
      </c>
      <c r="E576" s="9" t="s">
        <v>56</v>
      </c>
      <c r="F576" s="9" t="s">
        <v>1103</v>
      </c>
      <c r="G576" s="9"/>
      <c r="H576" s="5" t="s">
        <v>802</v>
      </c>
      <c r="I576" s="9" t="s">
        <v>825</v>
      </c>
      <c r="J576" s="9" t="s">
        <v>9</v>
      </c>
      <c r="K576" s="9"/>
    </row>
    <row r="577" spans="1:11" x14ac:dyDescent="0.25">
      <c r="A577" s="4">
        <v>45499</v>
      </c>
      <c r="B577" s="5" t="s">
        <v>1104</v>
      </c>
      <c r="C577" s="5">
        <v>68</v>
      </c>
      <c r="D577" s="5" t="s">
        <v>214</v>
      </c>
      <c r="E577" s="5" t="s">
        <v>125</v>
      </c>
      <c r="F577" s="5" t="s">
        <v>1116</v>
      </c>
      <c r="G577" s="5"/>
      <c r="H577" s="5" t="s">
        <v>802</v>
      </c>
      <c r="I577" s="5" t="s">
        <v>825</v>
      </c>
      <c r="J577" s="9" t="s">
        <v>9</v>
      </c>
      <c r="K577" s="5"/>
    </row>
    <row r="578" spans="1:11" x14ac:dyDescent="0.25">
      <c r="A578" s="10">
        <v>45499</v>
      </c>
      <c r="B578" s="9" t="s">
        <v>1106</v>
      </c>
      <c r="C578" s="9">
        <v>72</v>
      </c>
      <c r="D578" s="9" t="s">
        <v>1551</v>
      </c>
      <c r="E578" s="9" t="s">
        <v>43</v>
      </c>
      <c r="F578" s="9" t="s">
        <v>720</v>
      </c>
      <c r="G578" s="9"/>
      <c r="H578" s="5" t="s">
        <v>802</v>
      </c>
      <c r="I578" s="5" t="s">
        <v>825</v>
      </c>
      <c r="J578" s="9" t="s">
        <v>9</v>
      </c>
      <c r="K578" s="9"/>
    </row>
    <row r="579" spans="1:11" x14ac:dyDescent="0.25">
      <c r="A579" s="4">
        <v>45503</v>
      </c>
      <c r="B579" s="5" t="s">
        <v>1107</v>
      </c>
      <c r="C579" s="5">
        <v>36</v>
      </c>
      <c r="D579" s="8" t="s">
        <v>8</v>
      </c>
      <c r="E579" s="5" t="s">
        <v>1108</v>
      </c>
      <c r="F579" s="5" t="s">
        <v>1109</v>
      </c>
      <c r="G579" s="5"/>
      <c r="H579" s="5" t="s">
        <v>802</v>
      </c>
      <c r="I579" s="5" t="s">
        <v>825</v>
      </c>
      <c r="J579" s="5" t="s">
        <v>24</v>
      </c>
      <c r="K579" s="5"/>
    </row>
    <row r="580" spans="1:11" x14ac:dyDescent="0.25">
      <c r="A580" s="10">
        <v>45503</v>
      </c>
      <c r="B580" s="9" t="s">
        <v>1110</v>
      </c>
      <c r="C580" s="9">
        <v>49</v>
      </c>
      <c r="D580" s="9" t="s">
        <v>1678</v>
      </c>
      <c r="E580" s="9" t="s">
        <v>43</v>
      </c>
      <c r="F580" s="9" t="s">
        <v>1111</v>
      </c>
      <c r="G580" s="9"/>
      <c r="H580" s="5" t="s">
        <v>802</v>
      </c>
      <c r="I580" s="9" t="s">
        <v>825</v>
      </c>
      <c r="J580" s="5" t="s">
        <v>24</v>
      </c>
      <c r="K580" s="9"/>
    </row>
    <row r="581" spans="1:11" x14ac:dyDescent="0.25">
      <c r="A581" s="4">
        <v>45503</v>
      </c>
      <c r="B581" s="5" t="s">
        <v>1112</v>
      </c>
      <c r="C581" s="5">
        <v>85</v>
      </c>
      <c r="D581" s="9" t="s">
        <v>111</v>
      </c>
      <c r="E581" s="5" t="s">
        <v>1113</v>
      </c>
      <c r="F581" s="5" t="s">
        <v>1114</v>
      </c>
      <c r="G581" s="5"/>
      <c r="H581" s="5" t="s">
        <v>802</v>
      </c>
      <c r="I581" s="5" t="s">
        <v>825</v>
      </c>
      <c r="J581" s="9" t="s">
        <v>9</v>
      </c>
      <c r="K581" s="5"/>
    </row>
    <row r="582" spans="1:11" x14ac:dyDescent="0.25">
      <c r="A582" s="10">
        <v>45503</v>
      </c>
      <c r="B582" s="9" t="s">
        <v>1115</v>
      </c>
      <c r="C582" s="9">
        <v>74</v>
      </c>
      <c r="D582" s="5" t="s">
        <v>214</v>
      </c>
      <c r="E582" s="9" t="s">
        <v>125</v>
      </c>
      <c r="F582" s="9" t="s">
        <v>1105</v>
      </c>
      <c r="G582" s="9"/>
      <c r="H582" s="5" t="s">
        <v>802</v>
      </c>
      <c r="I582" s="5" t="s">
        <v>825</v>
      </c>
      <c r="J582" s="9" t="s">
        <v>9</v>
      </c>
      <c r="K582" s="9"/>
    </row>
    <row r="583" spans="1:11" x14ac:dyDescent="0.25">
      <c r="A583" s="4">
        <v>45503</v>
      </c>
      <c r="B583" s="5" t="s">
        <v>1106</v>
      </c>
      <c r="C583" s="5">
        <v>72</v>
      </c>
      <c r="D583" s="9" t="s">
        <v>1551</v>
      </c>
      <c r="E583" s="5" t="s">
        <v>43</v>
      </c>
      <c r="F583" s="5" t="s">
        <v>720</v>
      </c>
      <c r="G583" s="5"/>
      <c r="H583" s="5" t="s">
        <v>802</v>
      </c>
      <c r="I583" s="5" t="s">
        <v>825</v>
      </c>
      <c r="J583" s="9" t="s">
        <v>9</v>
      </c>
      <c r="K583" s="5"/>
    </row>
    <row r="584" spans="1:11" x14ac:dyDescent="0.25">
      <c r="A584" s="10">
        <v>45503</v>
      </c>
      <c r="B584" s="9" t="s">
        <v>1117</v>
      </c>
      <c r="C584" s="9">
        <v>24</v>
      </c>
      <c r="D584" s="8" t="s">
        <v>8</v>
      </c>
      <c r="E584" s="9" t="s">
        <v>1118</v>
      </c>
      <c r="F584" s="9" t="s">
        <v>1119</v>
      </c>
      <c r="G584" s="9"/>
      <c r="H584" s="5" t="s">
        <v>802</v>
      </c>
      <c r="I584" s="9" t="s">
        <v>234</v>
      </c>
      <c r="J584" s="5" t="s">
        <v>24</v>
      </c>
      <c r="K584" s="9"/>
    </row>
    <row r="585" spans="1:11" x14ac:dyDescent="0.25">
      <c r="A585" s="4">
        <v>45503</v>
      </c>
      <c r="B585" s="5" t="s">
        <v>1120</v>
      </c>
      <c r="C585" s="5"/>
      <c r="D585" s="8" t="s">
        <v>8</v>
      </c>
      <c r="E585" s="5" t="s">
        <v>1121</v>
      </c>
      <c r="F585" s="5" t="s">
        <v>1122</v>
      </c>
      <c r="G585" s="5"/>
      <c r="H585" s="5" t="s">
        <v>802</v>
      </c>
      <c r="I585" s="5" t="s">
        <v>825</v>
      </c>
      <c r="J585" s="5" t="s">
        <v>24</v>
      </c>
      <c r="K585" s="5"/>
    </row>
    <row r="586" spans="1:11" x14ac:dyDescent="0.25">
      <c r="A586" s="10">
        <v>45505</v>
      </c>
      <c r="B586" s="9" t="s">
        <v>1123</v>
      </c>
      <c r="C586" s="9">
        <v>52</v>
      </c>
      <c r="D586" s="8" t="s">
        <v>120</v>
      </c>
      <c r="E586" s="9" t="s">
        <v>112</v>
      </c>
      <c r="F586" s="9" t="s">
        <v>1124</v>
      </c>
      <c r="G586" s="9"/>
      <c r="H586" s="5" t="s">
        <v>802</v>
      </c>
      <c r="I586" s="9" t="s">
        <v>825</v>
      </c>
      <c r="J586" s="5" t="s">
        <v>24</v>
      </c>
      <c r="K586" s="9"/>
    </row>
    <row r="587" spans="1:11" x14ac:dyDescent="0.25">
      <c r="A587" s="4">
        <v>45505</v>
      </c>
      <c r="B587" s="5" t="s">
        <v>1125</v>
      </c>
      <c r="C587" s="5">
        <v>28</v>
      </c>
      <c r="D587" s="8" t="s">
        <v>120</v>
      </c>
      <c r="E587" s="5" t="s">
        <v>1126</v>
      </c>
      <c r="F587" s="5"/>
      <c r="G587" s="5"/>
      <c r="H587" s="5" t="s">
        <v>802</v>
      </c>
      <c r="I587" s="5" t="s">
        <v>302</v>
      </c>
      <c r="J587" s="5" t="s">
        <v>24</v>
      </c>
      <c r="K587" s="5"/>
    </row>
    <row r="588" spans="1:11" x14ac:dyDescent="0.25">
      <c r="A588" s="10">
        <v>45505</v>
      </c>
      <c r="B588" s="9" t="s">
        <v>1127</v>
      </c>
      <c r="C588" s="9">
        <v>54</v>
      </c>
      <c r="D588" s="9" t="s">
        <v>17</v>
      </c>
      <c r="E588" s="9" t="s">
        <v>1128</v>
      </c>
      <c r="F588" s="9"/>
      <c r="G588" s="9"/>
      <c r="H588" s="5" t="s">
        <v>802</v>
      </c>
      <c r="I588" s="9" t="s">
        <v>601</v>
      </c>
      <c r="J588" s="5" t="s">
        <v>24</v>
      </c>
      <c r="K588" s="9"/>
    </row>
    <row r="589" spans="1:11" x14ac:dyDescent="0.25">
      <c r="A589" s="4">
        <v>45505</v>
      </c>
      <c r="B589" s="5" t="s">
        <v>1129</v>
      </c>
      <c r="C589" s="5">
        <v>80</v>
      </c>
      <c r="D589" s="5" t="s">
        <v>1679</v>
      </c>
      <c r="E589" s="5" t="s">
        <v>1131</v>
      </c>
      <c r="F589" s="5" t="s">
        <v>1132</v>
      </c>
      <c r="G589" s="5" t="s">
        <v>33</v>
      </c>
      <c r="H589" s="5" t="s">
        <v>802</v>
      </c>
      <c r="I589" s="5" t="s">
        <v>825</v>
      </c>
      <c r="J589" s="9" t="s">
        <v>9</v>
      </c>
      <c r="K589" s="5"/>
    </row>
    <row r="590" spans="1:11" x14ac:dyDescent="0.25">
      <c r="A590" s="10">
        <v>45505</v>
      </c>
      <c r="B590" s="9" t="s">
        <v>1133</v>
      </c>
      <c r="C590" s="9">
        <v>60</v>
      </c>
      <c r="D590" s="5" t="s">
        <v>214</v>
      </c>
      <c r="E590" s="9" t="s">
        <v>207</v>
      </c>
      <c r="F590" s="9" t="s">
        <v>1134</v>
      </c>
      <c r="G590" s="9"/>
      <c r="H590" s="5" t="s">
        <v>802</v>
      </c>
      <c r="I590" s="9" t="s">
        <v>825</v>
      </c>
      <c r="J590" s="9" t="s">
        <v>9</v>
      </c>
      <c r="K590" s="9"/>
    </row>
    <row r="591" spans="1:11" x14ac:dyDescent="0.25">
      <c r="A591" s="4">
        <v>45505</v>
      </c>
      <c r="B591" s="5" t="s">
        <v>1135</v>
      </c>
      <c r="C591" s="5">
        <v>67</v>
      </c>
      <c r="D591" s="5" t="s">
        <v>100</v>
      </c>
      <c r="E591" s="5" t="s">
        <v>1136</v>
      </c>
      <c r="F591" s="5" t="s">
        <v>174</v>
      </c>
      <c r="G591" s="5"/>
      <c r="H591" s="5" t="s">
        <v>802</v>
      </c>
      <c r="I591" s="5" t="s">
        <v>231</v>
      </c>
      <c r="J591" s="9" t="s">
        <v>9</v>
      </c>
      <c r="K591" s="5"/>
    </row>
    <row r="592" spans="1:11" x14ac:dyDescent="0.25">
      <c r="A592" s="10">
        <v>45505</v>
      </c>
      <c r="B592" s="9" t="s">
        <v>1137</v>
      </c>
      <c r="C592" s="9">
        <v>72</v>
      </c>
      <c r="D592" s="5" t="s">
        <v>214</v>
      </c>
      <c r="E592" s="9" t="s">
        <v>125</v>
      </c>
      <c r="F592" s="9" t="s">
        <v>1093</v>
      </c>
      <c r="G592" s="9"/>
      <c r="H592" s="5" t="s">
        <v>802</v>
      </c>
      <c r="I592" s="9" t="s">
        <v>825</v>
      </c>
      <c r="J592" s="9" t="s">
        <v>9</v>
      </c>
      <c r="K592" s="9"/>
    </row>
    <row r="593" spans="1:11" x14ac:dyDescent="0.25">
      <c r="A593" s="4">
        <v>45505</v>
      </c>
      <c r="B593" s="5" t="s">
        <v>1138</v>
      </c>
      <c r="C593" s="5">
        <v>80</v>
      </c>
      <c r="D593" s="5" t="s">
        <v>1680</v>
      </c>
      <c r="E593" s="5" t="s">
        <v>125</v>
      </c>
      <c r="F593" s="5" t="s">
        <v>39</v>
      </c>
      <c r="G593" s="5" t="s">
        <v>33</v>
      </c>
      <c r="H593" s="5" t="s">
        <v>802</v>
      </c>
      <c r="I593" s="5" t="s">
        <v>825</v>
      </c>
      <c r="J593" s="9" t="s">
        <v>9</v>
      </c>
      <c r="K593" s="5"/>
    </row>
    <row r="594" spans="1:11" x14ac:dyDescent="0.25">
      <c r="A594" s="10">
        <v>45505</v>
      </c>
      <c r="B594" s="9" t="s">
        <v>1139</v>
      </c>
      <c r="C594" s="9">
        <v>79</v>
      </c>
      <c r="D594" s="5" t="s">
        <v>1680</v>
      </c>
      <c r="E594" s="9" t="s">
        <v>125</v>
      </c>
      <c r="F594" s="9" t="s">
        <v>1140</v>
      </c>
      <c r="G594" s="9"/>
      <c r="H594" s="5" t="s">
        <v>802</v>
      </c>
      <c r="I594" s="9" t="s">
        <v>825</v>
      </c>
      <c r="J594" s="9" t="s">
        <v>9</v>
      </c>
      <c r="K594" s="9"/>
    </row>
    <row r="595" spans="1:11" x14ac:dyDescent="0.25">
      <c r="A595" s="4">
        <v>45506</v>
      </c>
      <c r="B595" s="5" t="s">
        <v>1141</v>
      </c>
      <c r="C595" s="5">
        <v>38</v>
      </c>
      <c r="D595" s="9" t="s">
        <v>153</v>
      </c>
      <c r="E595" s="5" t="s">
        <v>356</v>
      </c>
      <c r="F595" s="5" t="s">
        <v>1142</v>
      </c>
      <c r="G595" s="5"/>
      <c r="H595" s="5" t="s">
        <v>802</v>
      </c>
      <c r="I595" s="5" t="s">
        <v>825</v>
      </c>
      <c r="J595" s="5" t="s">
        <v>24</v>
      </c>
      <c r="K595" s="5"/>
    </row>
    <row r="596" spans="1:11" x14ac:dyDescent="0.25">
      <c r="A596" s="10">
        <v>45506</v>
      </c>
      <c r="B596" s="9" t="s">
        <v>1143</v>
      </c>
      <c r="C596" s="9">
        <v>30</v>
      </c>
      <c r="D596" s="5" t="s">
        <v>214</v>
      </c>
      <c r="E596" s="9" t="s">
        <v>967</v>
      </c>
      <c r="F596" s="9" t="s">
        <v>1144</v>
      </c>
      <c r="G596" s="9"/>
      <c r="H596" s="5" t="s">
        <v>802</v>
      </c>
      <c r="I596" s="9"/>
      <c r="J596" s="5" t="s">
        <v>24</v>
      </c>
      <c r="K596" s="9"/>
    </row>
    <row r="597" spans="1:11" x14ac:dyDescent="0.25">
      <c r="A597" s="4">
        <v>45512</v>
      </c>
      <c r="B597" s="5" t="s">
        <v>1145</v>
      </c>
      <c r="C597" s="5">
        <v>70</v>
      </c>
      <c r="D597" s="8" t="s">
        <v>163</v>
      </c>
      <c r="E597" s="5" t="s">
        <v>857</v>
      </c>
      <c r="F597" s="5" t="s">
        <v>1146</v>
      </c>
      <c r="G597" s="5"/>
      <c r="H597" s="5" t="s">
        <v>802</v>
      </c>
      <c r="I597" s="5" t="s">
        <v>825</v>
      </c>
      <c r="J597" s="9" t="s">
        <v>9</v>
      </c>
      <c r="K597" s="5"/>
    </row>
    <row r="598" spans="1:11" x14ac:dyDescent="0.25">
      <c r="A598" s="10">
        <v>45516</v>
      </c>
      <c r="B598" s="9" t="s">
        <v>1147</v>
      </c>
      <c r="C598" s="9">
        <v>65</v>
      </c>
      <c r="D598" s="5" t="s">
        <v>665</v>
      </c>
      <c r="E598" s="9" t="s">
        <v>1148</v>
      </c>
      <c r="F598" s="9" t="s">
        <v>1149</v>
      </c>
      <c r="G598" s="9"/>
      <c r="H598" s="5" t="s">
        <v>802</v>
      </c>
      <c r="I598" s="8" t="s">
        <v>417</v>
      </c>
      <c r="J598" s="9" t="s">
        <v>9</v>
      </c>
      <c r="K598" s="9"/>
    </row>
    <row r="599" spans="1:11" x14ac:dyDescent="0.25">
      <c r="A599" s="4">
        <v>45516</v>
      </c>
      <c r="B599" s="5" t="s">
        <v>1150</v>
      </c>
      <c r="C599" s="5">
        <v>88</v>
      </c>
      <c r="D599" s="9" t="s">
        <v>727</v>
      </c>
      <c r="E599" s="5" t="s">
        <v>125</v>
      </c>
      <c r="F599" s="5" t="s">
        <v>1093</v>
      </c>
      <c r="G599" s="5" t="s">
        <v>33</v>
      </c>
      <c r="H599" s="5" t="s">
        <v>802</v>
      </c>
      <c r="I599" s="5" t="s">
        <v>825</v>
      </c>
      <c r="J599" s="9" t="s">
        <v>9</v>
      </c>
      <c r="K599" s="5"/>
    </row>
    <row r="600" spans="1:11" x14ac:dyDescent="0.25">
      <c r="A600" s="10">
        <v>45516</v>
      </c>
      <c r="B600" s="9" t="s">
        <v>1151</v>
      </c>
      <c r="C600" s="9">
        <v>64</v>
      </c>
      <c r="D600" s="8" t="s">
        <v>163</v>
      </c>
      <c r="E600" s="9" t="s">
        <v>91</v>
      </c>
      <c r="F600" s="9" t="s">
        <v>1152</v>
      </c>
      <c r="G600" s="9"/>
      <c r="H600" s="5" t="s">
        <v>802</v>
      </c>
      <c r="I600" s="9" t="s">
        <v>825</v>
      </c>
      <c r="J600" s="9" t="s">
        <v>9</v>
      </c>
      <c r="K600" s="9"/>
    </row>
    <row r="601" spans="1:11" x14ac:dyDescent="0.25">
      <c r="A601" s="4">
        <v>45516</v>
      </c>
      <c r="B601" s="5" t="s">
        <v>1153</v>
      </c>
      <c r="C601" s="5">
        <v>71</v>
      </c>
      <c r="D601" s="9" t="s">
        <v>1678</v>
      </c>
      <c r="E601" s="5"/>
      <c r="F601" s="5" t="s">
        <v>1154</v>
      </c>
      <c r="G601" s="5" t="s">
        <v>33</v>
      </c>
      <c r="H601" s="5" t="s">
        <v>802</v>
      </c>
      <c r="I601" s="5" t="s">
        <v>601</v>
      </c>
      <c r="J601" s="9" t="s">
        <v>9</v>
      </c>
      <c r="K601" s="5"/>
    </row>
    <row r="602" spans="1:11" x14ac:dyDescent="0.25">
      <c r="A602" s="10">
        <v>45516</v>
      </c>
      <c r="B602" s="9" t="s">
        <v>894</v>
      </c>
      <c r="C602" s="9">
        <v>76</v>
      </c>
      <c r="D602" s="8" t="s">
        <v>8</v>
      </c>
      <c r="E602" s="9" t="s">
        <v>56</v>
      </c>
      <c r="F602" s="9" t="s">
        <v>930</v>
      </c>
      <c r="G602" s="9"/>
      <c r="H602" s="5" t="s">
        <v>802</v>
      </c>
      <c r="I602" s="9" t="s">
        <v>825</v>
      </c>
      <c r="J602" s="9" t="s">
        <v>9</v>
      </c>
      <c r="K602" s="9"/>
    </row>
    <row r="603" spans="1:11" x14ac:dyDescent="0.25">
      <c r="A603" s="4">
        <v>45516</v>
      </c>
      <c r="B603" s="5" t="s">
        <v>1155</v>
      </c>
      <c r="C603" s="5">
        <v>53</v>
      </c>
      <c r="D603" s="8" t="s">
        <v>246</v>
      </c>
      <c r="E603" s="5" t="s">
        <v>623</v>
      </c>
      <c r="F603" s="5" t="s">
        <v>1156</v>
      </c>
      <c r="G603" s="5"/>
      <c r="H603" s="5" t="s">
        <v>802</v>
      </c>
      <c r="I603" s="5" t="s">
        <v>825</v>
      </c>
      <c r="J603" s="9" t="s">
        <v>9</v>
      </c>
      <c r="K603" s="5"/>
    </row>
    <row r="604" spans="1:11" x14ac:dyDescent="0.25">
      <c r="A604" s="10">
        <v>45516</v>
      </c>
      <c r="B604" s="9" t="s">
        <v>1157</v>
      </c>
      <c r="C604" s="9">
        <v>42</v>
      </c>
      <c r="D604" s="9" t="s">
        <v>1551</v>
      </c>
      <c r="E604" s="9" t="s">
        <v>112</v>
      </c>
      <c r="F604" s="9" t="s">
        <v>1124</v>
      </c>
      <c r="G604" s="9"/>
      <c r="H604" s="5" t="s">
        <v>802</v>
      </c>
      <c r="I604" s="9" t="s">
        <v>825</v>
      </c>
      <c r="J604" s="5" t="s">
        <v>24</v>
      </c>
      <c r="K604" s="9"/>
    </row>
    <row r="605" spans="1:11" x14ac:dyDescent="0.25">
      <c r="A605" s="4">
        <v>45516</v>
      </c>
      <c r="B605" s="5" t="s">
        <v>1158</v>
      </c>
      <c r="C605" s="5">
        <v>31</v>
      </c>
      <c r="D605" s="8" t="s">
        <v>8</v>
      </c>
      <c r="E605" s="5" t="s">
        <v>1159</v>
      </c>
      <c r="F605" s="5" t="s">
        <v>1160</v>
      </c>
      <c r="G605" s="5"/>
      <c r="H605" s="5" t="s">
        <v>802</v>
      </c>
      <c r="I605" s="5" t="s">
        <v>825</v>
      </c>
      <c r="J605" s="5" t="s">
        <v>24</v>
      </c>
      <c r="K605" s="5"/>
    </row>
    <row r="606" spans="1:11" x14ac:dyDescent="0.25">
      <c r="A606" s="10">
        <v>45517</v>
      </c>
      <c r="B606" s="9" t="s">
        <v>1161</v>
      </c>
      <c r="C606" s="9">
        <v>83</v>
      </c>
      <c r="D606" s="9" t="s">
        <v>1678</v>
      </c>
      <c r="E606" s="9" t="s">
        <v>158</v>
      </c>
      <c r="F606" s="9" t="s">
        <v>930</v>
      </c>
      <c r="G606" s="9" t="s">
        <v>33</v>
      </c>
      <c r="H606" s="5" t="s">
        <v>802</v>
      </c>
      <c r="I606" s="9" t="s">
        <v>825</v>
      </c>
      <c r="J606" s="9" t="s">
        <v>9</v>
      </c>
      <c r="K606" s="9"/>
    </row>
    <row r="607" spans="1:11" x14ac:dyDescent="0.25">
      <c r="A607" s="4">
        <v>45517</v>
      </c>
      <c r="B607" s="5" t="s">
        <v>1120</v>
      </c>
      <c r="C607" s="5">
        <v>56</v>
      </c>
      <c r="D607" s="8" t="s">
        <v>8</v>
      </c>
      <c r="E607" s="5"/>
      <c r="F607" s="5" t="s">
        <v>1168</v>
      </c>
      <c r="G607" s="5"/>
      <c r="H607" s="5" t="s">
        <v>802</v>
      </c>
      <c r="I607" s="5" t="s">
        <v>825</v>
      </c>
      <c r="J607" s="9" t="s">
        <v>9</v>
      </c>
      <c r="K607" s="5"/>
    </row>
    <row r="608" spans="1:11" x14ac:dyDescent="0.25">
      <c r="A608" s="10">
        <v>45518</v>
      </c>
      <c r="B608" s="9" t="s">
        <v>1162</v>
      </c>
      <c r="C608" s="9"/>
      <c r="D608" s="9" t="s">
        <v>17</v>
      </c>
      <c r="E608" s="9" t="s">
        <v>1163</v>
      </c>
      <c r="F608" s="9" t="s">
        <v>1164</v>
      </c>
      <c r="G608" s="9"/>
      <c r="H608" s="5" t="s">
        <v>802</v>
      </c>
      <c r="I608" s="9" t="s">
        <v>825</v>
      </c>
      <c r="J608" s="9" t="s">
        <v>9</v>
      </c>
      <c r="K608" s="9"/>
    </row>
    <row r="609" spans="1:11" x14ac:dyDescent="0.25">
      <c r="A609" s="4">
        <v>45519</v>
      </c>
      <c r="B609" s="5" t="s">
        <v>1165</v>
      </c>
      <c r="C609" s="5">
        <v>52</v>
      </c>
      <c r="D609" s="9" t="s">
        <v>17</v>
      </c>
      <c r="E609" s="5" t="s">
        <v>1166</v>
      </c>
      <c r="F609" s="5" t="s">
        <v>1167</v>
      </c>
      <c r="G609" s="5"/>
      <c r="H609" s="5" t="s">
        <v>802</v>
      </c>
      <c r="I609" s="5" t="s">
        <v>825</v>
      </c>
      <c r="J609" s="5" t="s">
        <v>24</v>
      </c>
      <c r="K609" s="5"/>
    </row>
    <row r="610" spans="1:11" x14ac:dyDescent="0.25">
      <c r="A610" s="10">
        <v>45519</v>
      </c>
      <c r="B610" s="9" t="s">
        <v>1139</v>
      </c>
      <c r="C610" s="9">
        <v>79</v>
      </c>
      <c r="D610" s="8" t="s">
        <v>246</v>
      </c>
      <c r="E610" s="9" t="s">
        <v>26</v>
      </c>
      <c r="F610" s="9" t="s">
        <v>1169</v>
      </c>
      <c r="G610" s="9" t="s">
        <v>1170</v>
      </c>
      <c r="H610" s="5" t="s">
        <v>802</v>
      </c>
      <c r="I610" s="5" t="s">
        <v>825</v>
      </c>
      <c r="J610" s="9" t="s">
        <v>9</v>
      </c>
      <c r="K610" s="9"/>
    </row>
    <row r="611" spans="1:11" x14ac:dyDescent="0.25">
      <c r="A611" s="4">
        <v>45520</v>
      </c>
      <c r="B611" s="5" t="s">
        <v>1171</v>
      </c>
      <c r="C611" s="5">
        <v>15</v>
      </c>
      <c r="D611" s="5" t="s">
        <v>214</v>
      </c>
      <c r="E611" s="5" t="s">
        <v>1172</v>
      </c>
      <c r="F611" s="5" t="s">
        <v>1173</v>
      </c>
      <c r="G611" s="5"/>
      <c r="H611" s="5" t="s">
        <v>802</v>
      </c>
      <c r="I611" s="5" t="s">
        <v>825</v>
      </c>
      <c r="J611" s="5" t="s">
        <v>24</v>
      </c>
      <c r="K611" s="5"/>
    </row>
    <row r="612" spans="1:11" x14ac:dyDescent="0.25">
      <c r="A612" s="10">
        <v>45523</v>
      </c>
      <c r="B612" s="9" t="s">
        <v>1174</v>
      </c>
      <c r="C612" s="9">
        <v>56</v>
      </c>
      <c r="D612" s="8" t="s">
        <v>8</v>
      </c>
      <c r="E612" s="9" t="s">
        <v>1175</v>
      </c>
      <c r="F612" s="9" t="s">
        <v>1176</v>
      </c>
      <c r="G612" s="9"/>
      <c r="H612" s="5" t="s">
        <v>802</v>
      </c>
      <c r="I612" s="9" t="s">
        <v>332</v>
      </c>
      <c r="J612" s="9" t="s">
        <v>9</v>
      </c>
      <c r="K612" s="9"/>
    </row>
    <row r="613" spans="1:11" x14ac:dyDescent="0.25">
      <c r="A613" s="4">
        <v>45523</v>
      </c>
      <c r="B613" s="5" t="s">
        <v>1177</v>
      </c>
      <c r="C613" s="5">
        <v>44</v>
      </c>
      <c r="D613" s="5" t="s">
        <v>214</v>
      </c>
      <c r="E613" s="5"/>
      <c r="F613" s="5" t="s">
        <v>1178</v>
      </c>
      <c r="G613" s="5"/>
      <c r="H613" s="5" t="s">
        <v>802</v>
      </c>
      <c r="I613" s="5" t="s">
        <v>1179</v>
      </c>
      <c r="J613" s="9" t="s">
        <v>9</v>
      </c>
      <c r="K613" s="5"/>
    </row>
    <row r="614" spans="1:11" x14ac:dyDescent="0.25">
      <c r="A614" s="10">
        <v>45523</v>
      </c>
      <c r="B614" s="9" t="s">
        <v>1139</v>
      </c>
      <c r="C614" s="9">
        <v>79</v>
      </c>
      <c r="D614" s="8" t="s">
        <v>246</v>
      </c>
      <c r="E614" s="9" t="s">
        <v>26</v>
      </c>
      <c r="F614" s="9" t="s">
        <v>1169</v>
      </c>
      <c r="G614" s="9"/>
      <c r="H614" s="5" t="s">
        <v>802</v>
      </c>
      <c r="I614" s="9" t="s">
        <v>825</v>
      </c>
      <c r="J614" s="9" t="s">
        <v>9</v>
      </c>
      <c r="K614" s="9"/>
    </row>
    <row r="615" spans="1:11" x14ac:dyDescent="0.25">
      <c r="A615" s="4">
        <v>45523</v>
      </c>
      <c r="B615" s="5" t="s">
        <v>635</v>
      </c>
      <c r="C615" s="5">
        <v>66</v>
      </c>
      <c r="D615" s="9" t="s">
        <v>17</v>
      </c>
      <c r="E615" s="5" t="s">
        <v>1163</v>
      </c>
      <c r="F615" s="5" t="s">
        <v>1167</v>
      </c>
      <c r="G615" s="5" t="s">
        <v>539</v>
      </c>
      <c r="H615" s="5" t="s">
        <v>802</v>
      </c>
      <c r="I615" s="5" t="s">
        <v>825</v>
      </c>
      <c r="J615" s="9" t="s">
        <v>9</v>
      </c>
      <c r="K615" s="5"/>
    </row>
    <row r="616" spans="1:11" x14ac:dyDescent="0.25">
      <c r="A616" s="10">
        <v>45527</v>
      </c>
      <c r="B616" s="9" t="s">
        <v>1197</v>
      </c>
      <c r="C616" s="9">
        <v>71</v>
      </c>
      <c r="D616" s="8" t="s">
        <v>246</v>
      </c>
      <c r="E616" s="9" t="s">
        <v>1198</v>
      </c>
      <c r="F616" s="9" t="s">
        <v>1199</v>
      </c>
      <c r="G616" s="9"/>
      <c r="H616" s="5" t="s">
        <v>802</v>
      </c>
      <c r="I616" s="5" t="s">
        <v>825</v>
      </c>
      <c r="J616" s="9" t="s">
        <v>9</v>
      </c>
      <c r="K616" s="9"/>
    </row>
    <row r="617" spans="1:11" x14ac:dyDescent="0.25">
      <c r="A617" s="4">
        <v>45530</v>
      </c>
      <c r="B617" s="5" t="s">
        <v>1180</v>
      </c>
      <c r="C617" s="5">
        <v>60</v>
      </c>
      <c r="D617" s="8" t="s">
        <v>120</v>
      </c>
      <c r="E617" s="5" t="s">
        <v>1172</v>
      </c>
      <c r="F617" s="5" t="s">
        <v>1181</v>
      </c>
      <c r="G617" s="5" t="s">
        <v>33</v>
      </c>
      <c r="H617" s="5" t="s">
        <v>802</v>
      </c>
      <c r="I617" s="5" t="s">
        <v>825</v>
      </c>
      <c r="J617" s="9" t="s">
        <v>9</v>
      </c>
      <c r="K617" s="5"/>
    </row>
    <row r="618" spans="1:11" x14ac:dyDescent="0.25">
      <c r="A618" s="10">
        <v>45531</v>
      </c>
      <c r="B618" s="9" t="s">
        <v>1200</v>
      </c>
      <c r="C618" s="9">
        <v>86</v>
      </c>
      <c r="D618" s="8" t="s">
        <v>246</v>
      </c>
      <c r="E618" s="9" t="s">
        <v>1201</v>
      </c>
      <c r="F618" s="9" t="s">
        <v>1202</v>
      </c>
      <c r="G618" s="9" t="s">
        <v>33</v>
      </c>
      <c r="H618" s="5" t="s">
        <v>802</v>
      </c>
      <c r="I618" s="5" t="s">
        <v>825</v>
      </c>
      <c r="J618" s="9" t="s">
        <v>9</v>
      </c>
      <c r="K618" s="9"/>
    </row>
    <row r="619" spans="1:11" x14ac:dyDescent="0.25">
      <c r="A619" s="4">
        <v>45532</v>
      </c>
      <c r="B619" s="5" t="s">
        <v>1203</v>
      </c>
      <c r="C619" s="5">
        <v>30</v>
      </c>
      <c r="D619" s="5"/>
      <c r="E619" s="5" t="s">
        <v>112</v>
      </c>
      <c r="F619" s="5" t="s">
        <v>1184</v>
      </c>
      <c r="G619" s="5"/>
      <c r="H619" s="5" t="s">
        <v>802</v>
      </c>
      <c r="I619" s="5" t="s">
        <v>231</v>
      </c>
      <c r="J619" s="5" t="s">
        <v>24</v>
      </c>
      <c r="K619" s="5"/>
    </row>
    <row r="620" spans="1:11" x14ac:dyDescent="0.25">
      <c r="A620" s="10">
        <v>45534</v>
      </c>
      <c r="B620" s="9" t="s">
        <v>1185</v>
      </c>
      <c r="C620" s="9">
        <v>83</v>
      </c>
      <c r="D620" s="8" t="s">
        <v>246</v>
      </c>
      <c r="E620" s="9" t="s">
        <v>1186</v>
      </c>
      <c r="F620" s="9" t="s">
        <v>725</v>
      </c>
      <c r="G620" s="9" t="s">
        <v>33</v>
      </c>
      <c r="H620" s="5" t="s">
        <v>802</v>
      </c>
      <c r="I620" s="5" t="s">
        <v>825</v>
      </c>
      <c r="J620" s="9" t="s">
        <v>9</v>
      </c>
      <c r="K620" s="9"/>
    </row>
    <row r="621" spans="1:11" x14ac:dyDescent="0.25">
      <c r="A621" s="4">
        <v>45534</v>
      </c>
      <c r="B621" s="5" t="s">
        <v>1187</v>
      </c>
      <c r="C621" s="5">
        <v>69</v>
      </c>
      <c r="D621" s="8" t="s">
        <v>246</v>
      </c>
      <c r="E621" s="5" t="s">
        <v>1186</v>
      </c>
      <c r="F621" s="5" t="s">
        <v>1182</v>
      </c>
      <c r="G621" s="5" t="s">
        <v>33</v>
      </c>
      <c r="H621" s="5" t="s">
        <v>802</v>
      </c>
      <c r="I621" s="5" t="s">
        <v>825</v>
      </c>
      <c r="J621" s="9" t="s">
        <v>9</v>
      </c>
      <c r="K621" s="5"/>
    </row>
    <row r="622" spans="1:11" x14ac:dyDescent="0.25">
      <c r="A622" s="10">
        <v>45534</v>
      </c>
      <c r="B622" s="9" t="s">
        <v>1188</v>
      </c>
      <c r="C622" s="9">
        <v>83</v>
      </c>
      <c r="D622" s="8" t="s">
        <v>8</v>
      </c>
      <c r="E622" s="9" t="s">
        <v>1189</v>
      </c>
      <c r="F622" s="9" t="s">
        <v>1190</v>
      </c>
      <c r="G622" s="9" t="s">
        <v>33</v>
      </c>
      <c r="H622" s="5" t="s">
        <v>802</v>
      </c>
      <c r="I622" s="5" t="s">
        <v>825</v>
      </c>
      <c r="J622" s="9" t="s">
        <v>9</v>
      </c>
      <c r="K622" s="9"/>
    </row>
    <row r="623" spans="1:11" x14ac:dyDescent="0.25">
      <c r="A623" s="4">
        <v>45534</v>
      </c>
      <c r="B623" s="5" t="s">
        <v>1191</v>
      </c>
      <c r="C623" s="5">
        <v>77</v>
      </c>
      <c r="D623" s="9" t="s">
        <v>17</v>
      </c>
      <c r="E623" s="5" t="s">
        <v>1189</v>
      </c>
      <c r="F623" s="5" t="s">
        <v>933</v>
      </c>
      <c r="G623" s="5" t="s">
        <v>33</v>
      </c>
      <c r="H623" s="5" t="s">
        <v>802</v>
      </c>
      <c r="I623" s="5" t="s">
        <v>825</v>
      </c>
      <c r="J623" s="9" t="s">
        <v>9</v>
      </c>
      <c r="K623" s="5"/>
    </row>
    <row r="624" spans="1:11" x14ac:dyDescent="0.25">
      <c r="A624" s="10">
        <v>45534</v>
      </c>
      <c r="B624" s="9" t="s">
        <v>1192</v>
      </c>
      <c r="C624" s="9">
        <v>56</v>
      </c>
      <c r="D624" s="8" t="s">
        <v>8</v>
      </c>
      <c r="E624" s="9" t="s">
        <v>1193</v>
      </c>
      <c r="F624" s="9" t="s">
        <v>933</v>
      </c>
      <c r="G624" s="9"/>
      <c r="H624" s="5" t="s">
        <v>802</v>
      </c>
      <c r="I624" s="9" t="s">
        <v>601</v>
      </c>
      <c r="J624" s="5" t="s">
        <v>24</v>
      </c>
      <c r="K624" s="9"/>
    </row>
    <row r="625" spans="1:11" x14ac:dyDescent="0.25">
      <c r="A625" s="4">
        <v>45534</v>
      </c>
      <c r="B625" s="5" t="s">
        <v>1194</v>
      </c>
      <c r="C625" s="5">
        <v>74</v>
      </c>
      <c r="D625" s="9" t="s">
        <v>111</v>
      </c>
      <c r="E625" s="5" t="s">
        <v>1195</v>
      </c>
      <c r="F625" s="5" t="s">
        <v>1196</v>
      </c>
      <c r="G625" s="5" t="s">
        <v>33</v>
      </c>
      <c r="H625" s="5" t="s">
        <v>802</v>
      </c>
      <c r="I625" s="5" t="s">
        <v>825</v>
      </c>
      <c r="J625" s="9" t="s">
        <v>9</v>
      </c>
      <c r="K625" s="5"/>
    </row>
    <row r="626" spans="1:11" x14ac:dyDescent="0.25">
      <c r="A626" s="10">
        <v>45536</v>
      </c>
      <c r="B626" s="9" t="s">
        <v>1210</v>
      </c>
      <c r="C626" s="9">
        <v>26</v>
      </c>
      <c r="D626" s="9" t="s">
        <v>1551</v>
      </c>
      <c r="E626" s="9" t="s">
        <v>1211</v>
      </c>
      <c r="F626" s="9" t="s">
        <v>1212</v>
      </c>
      <c r="G626" s="9"/>
      <c r="H626" s="5" t="s">
        <v>802</v>
      </c>
      <c r="I626" s="5" t="s">
        <v>825</v>
      </c>
      <c r="J626" s="5" t="s">
        <v>24</v>
      </c>
      <c r="K626" s="9"/>
    </row>
    <row r="627" spans="1:11" x14ac:dyDescent="0.25">
      <c r="A627" s="4">
        <v>45537</v>
      </c>
      <c r="B627" s="5" t="s">
        <v>1204</v>
      </c>
      <c r="C627" s="5">
        <v>43</v>
      </c>
      <c r="D627" s="5" t="s">
        <v>18</v>
      </c>
      <c r="E627" s="5" t="s">
        <v>1205</v>
      </c>
      <c r="F627" s="5" t="s">
        <v>1206</v>
      </c>
      <c r="G627" s="5"/>
      <c r="H627" s="5" t="s">
        <v>802</v>
      </c>
      <c r="I627" s="5" t="s">
        <v>825</v>
      </c>
      <c r="J627" s="5" t="s">
        <v>24</v>
      </c>
      <c r="K627" s="5"/>
    </row>
    <row r="628" spans="1:11" x14ac:dyDescent="0.25">
      <c r="A628" s="10">
        <v>45537</v>
      </c>
      <c r="B628" s="9" t="s">
        <v>1207</v>
      </c>
      <c r="C628" s="9">
        <v>25</v>
      </c>
      <c r="D628" s="5" t="s">
        <v>18</v>
      </c>
      <c r="E628" s="9" t="s">
        <v>1208</v>
      </c>
      <c r="F628" s="9" t="s">
        <v>1209</v>
      </c>
      <c r="G628" s="9"/>
      <c r="H628" s="5" t="s">
        <v>802</v>
      </c>
      <c r="I628" s="5" t="s">
        <v>825</v>
      </c>
      <c r="J628" s="5" t="s">
        <v>24</v>
      </c>
      <c r="K628" s="9"/>
    </row>
    <row r="629" spans="1:11" x14ac:dyDescent="0.25">
      <c r="A629" s="4">
        <v>45537</v>
      </c>
      <c r="B629" s="5" t="s">
        <v>1213</v>
      </c>
      <c r="C629" s="5">
        <v>83</v>
      </c>
      <c r="D629" s="5"/>
      <c r="E629" s="5" t="s">
        <v>89</v>
      </c>
      <c r="F629" s="5" t="s">
        <v>1214</v>
      </c>
      <c r="G629" s="5" t="s">
        <v>33</v>
      </c>
      <c r="H629" s="5" t="s">
        <v>802</v>
      </c>
      <c r="I629" s="5" t="s">
        <v>825</v>
      </c>
      <c r="J629" s="9" t="s">
        <v>9</v>
      </c>
      <c r="K629" s="5"/>
    </row>
    <row r="630" spans="1:11" x14ac:dyDescent="0.25">
      <c r="A630" s="10">
        <v>45538</v>
      </c>
      <c r="B630" s="9" t="s">
        <v>1215</v>
      </c>
      <c r="C630" s="9">
        <v>66</v>
      </c>
      <c r="D630" s="9"/>
      <c r="E630" s="9" t="s">
        <v>27</v>
      </c>
      <c r="F630" s="9" t="s">
        <v>1216</v>
      </c>
      <c r="G630" s="9" t="s">
        <v>33</v>
      </c>
      <c r="H630" s="5" t="s">
        <v>802</v>
      </c>
      <c r="I630" s="9" t="s">
        <v>1012</v>
      </c>
      <c r="J630" s="9" t="s">
        <v>9</v>
      </c>
      <c r="K630" s="9"/>
    </row>
    <row r="631" spans="1:11" x14ac:dyDescent="0.25">
      <c r="A631" s="4">
        <v>45539</v>
      </c>
      <c r="B631" s="5" t="s">
        <v>1145</v>
      </c>
      <c r="C631" s="5">
        <v>70</v>
      </c>
      <c r="D631" s="5"/>
      <c r="E631" s="5" t="s">
        <v>1217</v>
      </c>
      <c r="F631" s="5" t="s">
        <v>1218</v>
      </c>
      <c r="G631" s="5" t="s">
        <v>33</v>
      </c>
      <c r="H631" s="5" t="s">
        <v>802</v>
      </c>
      <c r="I631" s="5" t="s">
        <v>825</v>
      </c>
      <c r="J631" s="9" t="s">
        <v>9</v>
      </c>
      <c r="K631" s="5"/>
    </row>
    <row r="632" spans="1:11" x14ac:dyDescent="0.25">
      <c r="A632" s="10">
        <v>45540</v>
      </c>
      <c r="B632" s="9" t="s">
        <v>1219</v>
      </c>
      <c r="C632" s="9">
        <v>41</v>
      </c>
      <c r="D632" s="8" t="s">
        <v>246</v>
      </c>
      <c r="E632" s="9" t="s">
        <v>1220</v>
      </c>
      <c r="F632" s="9" t="s">
        <v>1221</v>
      </c>
      <c r="G632" s="9"/>
      <c r="H632" s="5" t="s">
        <v>802</v>
      </c>
      <c r="I632" s="5" t="s">
        <v>825</v>
      </c>
      <c r="J632" s="5" t="s">
        <v>24</v>
      </c>
      <c r="K632" s="9"/>
    </row>
    <row r="633" spans="1:11" x14ac:dyDescent="0.25">
      <c r="A633" s="4">
        <v>45541</v>
      </c>
      <c r="B633" s="5" t="s">
        <v>1222</v>
      </c>
      <c r="C633" s="5">
        <v>70</v>
      </c>
      <c r="D633" s="5"/>
      <c r="E633" s="5" t="s">
        <v>510</v>
      </c>
      <c r="F633" s="5" t="s">
        <v>1223</v>
      </c>
      <c r="G633" s="5"/>
      <c r="H633" s="5" t="s">
        <v>802</v>
      </c>
      <c r="I633" s="5" t="s">
        <v>825</v>
      </c>
      <c r="J633" s="9" t="s">
        <v>9</v>
      </c>
      <c r="K633" s="5"/>
    </row>
    <row r="634" spans="1:11" x14ac:dyDescent="0.25">
      <c r="A634" s="10">
        <v>45541</v>
      </c>
      <c r="B634" s="9" t="s">
        <v>1224</v>
      </c>
      <c r="C634" s="9"/>
      <c r="D634" s="5" t="s">
        <v>18</v>
      </c>
      <c r="E634" s="9" t="s">
        <v>1225</v>
      </c>
      <c r="F634" s="9" t="s">
        <v>1226</v>
      </c>
      <c r="G634" s="9"/>
      <c r="H634" s="5" t="s">
        <v>802</v>
      </c>
      <c r="I634" s="9"/>
      <c r="J634" s="5" t="s">
        <v>24</v>
      </c>
      <c r="K634" s="9"/>
    </row>
    <row r="635" spans="1:11" x14ac:dyDescent="0.25">
      <c r="A635" s="4">
        <v>45541</v>
      </c>
      <c r="B635" s="5" t="s">
        <v>1227</v>
      </c>
      <c r="C635" s="5"/>
      <c r="D635" s="5"/>
      <c r="E635" s="5" t="s">
        <v>819</v>
      </c>
      <c r="F635" s="5"/>
      <c r="G635" s="5" t="s">
        <v>1228</v>
      </c>
      <c r="H635" s="5" t="s">
        <v>802</v>
      </c>
      <c r="I635" s="5" t="s">
        <v>825</v>
      </c>
      <c r="J635" s="5" t="s">
        <v>24</v>
      </c>
      <c r="K635" s="5"/>
    </row>
    <row r="636" spans="1:11" x14ac:dyDescent="0.25">
      <c r="A636" s="10">
        <v>45545</v>
      </c>
      <c r="B636" s="9" t="s">
        <v>1229</v>
      </c>
      <c r="C636" s="9">
        <v>28</v>
      </c>
      <c r="D636" s="9" t="s">
        <v>111</v>
      </c>
      <c r="E636" s="9" t="s">
        <v>112</v>
      </c>
      <c r="F636" s="9" t="s">
        <v>1230</v>
      </c>
      <c r="G636" s="9"/>
      <c r="H636" s="5" t="s">
        <v>802</v>
      </c>
      <c r="I636" s="9" t="s">
        <v>825</v>
      </c>
      <c r="J636" s="5" t="s">
        <v>24</v>
      </c>
      <c r="K636" s="9"/>
    </row>
    <row r="637" spans="1:11" x14ac:dyDescent="0.25">
      <c r="A637" s="4">
        <v>45545</v>
      </c>
      <c r="B637" s="5" t="s">
        <v>1231</v>
      </c>
      <c r="C637" s="5">
        <v>23</v>
      </c>
      <c r="D637" s="9" t="s">
        <v>111</v>
      </c>
      <c r="E637" s="5" t="s">
        <v>224</v>
      </c>
      <c r="F637" s="5" t="s">
        <v>1232</v>
      </c>
      <c r="G637" s="5"/>
      <c r="H637" s="5" t="s">
        <v>802</v>
      </c>
      <c r="I637" s="5" t="s">
        <v>825</v>
      </c>
      <c r="J637" s="5" t="s">
        <v>24</v>
      </c>
      <c r="K637" s="5"/>
    </row>
    <row r="638" spans="1:11" x14ac:dyDescent="0.25">
      <c r="A638" s="10">
        <v>45548</v>
      </c>
      <c r="B638" s="9" t="s">
        <v>1233</v>
      </c>
      <c r="C638" s="9">
        <v>71</v>
      </c>
      <c r="D638" s="8" t="s">
        <v>120</v>
      </c>
      <c r="E638" s="9" t="s">
        <v>1234</v>
      </c>
      <c r="F638" s="9" t="s">
        <v>1235</v>
      </c>
      <c r="G638" s="9"/>
      <c r="H638" s="5" t="s">
        <v>802</v>
      </c>
      <c r="I638" s="9" t="s">
        <v>825</v>
      </c>
      <c r="J638" s="9" t="s">
        <v>9</v>
      </c>
      <c r="K638" s="9"/>
    </row>
    <row r="639" spans="1:11" x14ac:dyDescent="0.25">
      <c r="A639" s="4">
        <v>45551</v>
      </c>
      <c r="B639" s="5" t="s">
        <v>1236</v>
      </c>
      <c r="C639" s="5"/>
      <c r="D639" s="5" t="s">
        <v>18</v>
      </c>
      <c r="E639" s="5" t="s">
        <v>43</v>
      </c>
      <c r="F639" s="5" t="s">
        <v>1237</v>
      </c>
      <c r="G639" s="5"/>
      <c r="H639" s="5" t="s">
        <v>802</v>
      </c>
      <c r="I639" s="5" t="s">
        <v>825</v>
      </c>
      <c r="J639" s="9" t="s">
        <v>9</v>
      </c>
      <c r="K639" s="5"/>
    </row>
    <row r="640" spans="1:11" x14ac:dyDescent="0.25">
      <c r="A640" s="10">
        <v>45552</v>
      </c>
      <c r="B640" s="9" t="s">
        <v>1238</v>
      </c>
      <c r="C640" s="9">
        <v>72</v>
      </c>
      <c r="D640" s="8" t="s">
        <v>120</v>
      </c>
      <c r="E640" s="9" t="s">
        <v>56</v>
      </c>
      <c r="F640" s="9" t="s">
        <v>847</v>
      </c>
      <c r="G640" s="9" t="s">
        <v>33</v>
      </c>
      <c r="H640" s="5" t="s">
        <v>802</v>
      </c>
      <c r="I640" s="9" t="s">
        <v>156</v>
      </c>
      <c r="J640" s="9" t="s">
        <v>9</v>
      </c>
      <c r="K640" s="9"/>
    </row>
    <row r="641" spans="1:11" x14ac:dyDescent="0.25">
      <c r="A641" s="4">
        <v>45552</v>
      </c>
      <c r="B641" s="5" t="s">
        <v>1239</v>
      </c>
      <c r="C641" s="5">
        <v>79</v>
      </c>
      <c r="D641" s="8" t="s">
        <v>8</v>
      </c>
      <c r="E641" s="5" t="s">
        <v>1240</v>
      </c>
      <c r="F641" s="5" t="s">
        <v>1241</v>
      </c>
      <c r="G641" s="5"/>
      <c r="H641" s="5" t="s">
        <v>802</v>
      </c>
      <c r="I641" s="5" t="s">
        <v>825</v>
      </c>
      <c r="J641" s="9" t="s">
        <v>9</v>
      </c>
      <c r="K641" s="5"/>
    </row>
    <row r="642" spans="1:11" x14ac:dyDescent="0.25">
      <c r="A642" s="10">
        <v>45553</v>
      </c>
      <c r="B642" s="9" t="s">
        <v>1242</v>
      </c>
      <c r="C642" s="9">
        <v>74</v>
      </c>
      <c r="D642" s="5" t="s">
        <v>100</v>
      </c>
      <c r="E642" s="9" t="s">
        <v>1243</v>
      </c>
      <c r="F642" s="9" t="s">
        <v>1244</v>
      </c>
      <c r="G642" s="9"/>
      <c r="H642" s="5" t="s">
        <v>802</v>
      </c>
      <c r="I642" s="9" t="s">
        <v>825</v>
      </c>
      <c r="J642" s="9" t="s">
        <v>9</v>
      </c>
      <c r="K642" s="9"/>
    </row>
    <row r="643" spans="1:11" x14ac:dyDescent="0.25">
      <c r="A643" s="4">
        <v>45553</v>
      </c>
      <c r="B643" s="5" t="s">
        <v>1245</v>
      </c>
      <c r="C643" s="5">
        <v>61</v>
      </c>
      <c r="D643" s="5" t="s">
        <v>18</v>
      </c>
      <c r="E643" s="5" t="s">
        <v>26</v>
      </c>
      <c r="F643" s="5" t="s">
        <v>1246</v>
      </c>
      <c r="G643" s="5"/>
      <c r="H643" s="5" t="s">
        <v>802</v>
      </c>
      <c r="I643" s="5" t="s">
        <v>825</v>
      </c>
      <c r="J643" s="9" t="s">
        <v>9</v>
      </c>
      <c r="K643" s="5"/>
    </row>
    <row r="644" spans="1:11" x14ac:dyDescent="0.25">
      <c r="A644" s="10">
        <v>45553</v>
      </c>
      <c r="B644" s="9" t="s">
        <v>1247</v>
      </c>
      <c r="C644" s="9">
        <v>77</v>
      </c>
      <c r="D644" s="9" t="s">
        <v>153</v>
      </c>
      <c r="E644" s="9" t="s">
        <v>56</v>
      </c>
      <c r="F644" s="9" t="s">
        <v>634</v>
      </c>
      <c r="G644" s="9"/>
      <c r="H644" s="5" t="s">
        <v>802</v>
      </c>
      <c r="I644" s="9" t="s">
        <v>825</v>
      </c>
      <c r="J644" s="9" t="s">
        <v>9</v>
      </c>
      <c r="K644" s="9"/>
    </row>
    <row r="645" spans="1:11" x14ac:dyDescent="0.25">
      <c r="A645" s="4">
        <v>45553</v>
      </c>
      <c r="B645" s="5" t="s">
        <v>1248</v>
      </c>
      <c r="C645" s="5">
        <v>61</v>
      </c>
      <c r="D645" s="9" t="s">
        <v>1678</v>
      </c>
      <c r="E645" s="5" t="s">
        <v>1249</v>
      </c>
      <c r="F645" s="5" t="s">
        <v>1250</v>
      </c>
      <c r="G645" s="5"/>
      <c r="H645" s="5" t="s">
        <v>802</v>
      </c>
      <c r="I645" s="5" t="s">
        <v>253</v>
      </c>
      <c r="J645" s="5" t="s">
        <v>24</v>
      </c>
      <c r="K645" s="5"/>
    </row>
    <row r="646" spans="1:11" x14ac:dyDescent="0.25">
      <c r="A646" s="10">
        <v>45554</v>
      </c>
      <c r="B646" s="9" t="s">
        <v>1251</v>
      </c>
      <c r="C646" s="9">
        <v>48</v>
      </c>
      <c r="D646" s="9" t="s">
        <v>674</v>
      </c>
      <c r="E646" s="9" t="s">
        <v>1252</v>
      </c>
      <c r="F646" s="9"/>
      <c r="G646" s="9"/>
      <c r="H646" s="5" t="s">
        <v>802</v>
      </c>
      <c r="I646" s="9" t="s">
        <v>632</v>
      </c>
      <c r="J646" s="5" t="s">
        <v>24</v>
      </c>
      <c r="K646" s="9"/>
    </row>
    <row r="647" spans="1:11" x14ac:dyDescent="0.25">
      <c r="A647" s="4">
        <v>45554</v>
      </c>
      <c r="B647" s="5" t="s">
        <v>1253</v>
      </c>
      <c r="C647" s="5"/>
      <c r="D647" s="9" t="s">
        <v>17</v>
      </c>
      <c r="E647" s="5" t="s">
        <v>1254</v>
      </c>
      <c r="F647" s="5"/>
      <c r="G647" s="5"/>
      <c r="H647" s="5" t="s">
        <v>802</v>
      </c>
      <c r="I647" s="5" t="s">
        <v>825</v>
      </c>
      <c r="J647" s="5" t="s">
        <v>24</v>
      </c>
      <c r="K647" s="5"/>
    </row>
    <row r="648" spans="1:11" x14ac:dyDescent="0.25">
      <c r="A648" s="10">
        <v>45554</v>
      </c>
      <c r="B648" s="9" t="s">
        <v>1255</v>
      </c>
      <c r="C648" s="9">
        <v>15</v>
      </c>
      <c r="D648" s="8" t="s">
        <v>163</v>
      </c>
      <c r="E648" s="9" t="s">
        <v>1256</v>
      </c>
      <c r="F648" s="9" t="s">
        <v>1257</v>
      </c>
      <c r="G648" s="9"/>
      <c r="H648" s="5" t="s">
        <v>802</v>
      </c>
      <c r="I648" s="8" t="s">
        <v>417</v>
      </c>
      <c r="J648" s="5" t="s">
        <v>24</v>
      </c>
      <c r="K648" s="9"/>
    </row>
    <row r="649" spans="1:11" x14ac:dyDescent="0.25">
      <c r="A649" s="4">
        <v>45559</v>
      </c>
      <c r="B649" s="5" t="s">
        <v>1258</v>
      </c>
      <c r="C649" s="5">
        <v>36</v>
      </c>
      <c r="D649" s="8" t="s">
        <v>8</v>
      </c>
      <c r="E649" s="5" t="s">
        <v>1259</v>
      </c>
      <c r="F649" s="5" t="s">
        <v>1260</v>
      </c>
      <c r="G649" s="5"/>
      <c r="H649" s="5" t="s">
        <v>802</v>
      </c>
      <c r="I649" s="5" t="s">
        <v>825</v>
      </c>
      <c r="J649" s="5" t="s">
        <v>24</v>
      </c>
      <c r="K649" s="5"/>
    </row>
    <row r="650" spans="1:11" x14ac:dyDescent="0.25">
      <c r="A650" s="10">
        <v>45559</v>
      </c>
      <c r="B650" s="9" t="s">
        <v>1261</v>
      </c>
      <c r="C650" s="9">
        <v>75</v>
      </c>
      <c r="D650" s="9" t="s">
        <v>153</v>
      </c>
      <c r="E650" s="9" t="s">
        <v>43</v>
      </c>
      <c r="F650" s="9" t="s">
        <v>1241</v>
      </c>
      <c r="G650" s="9"/>
      <c r="H650" s="5" t="s">
        <v>802</v>
      </c>
      <c r="I650" s="9" t="s">
        <v>825</v>
      </c>
      <c r="J650" s="9" t="s">
        <v>9</v>
      </c>
      <c r="K650" s="9"/>
    </row>
    <row r="651" spans="1:11" x14ac:dyDescent="0.25">
      <c r="A651" s="4">
        <v>45560</v>
      </c>
      <c r="B651" s="5" t="s">
        <v>1262</v>
      </c>
      <c r="C651" s="5">
        <v>48</v>
      </c>
      <c r="D651" s="5" t="s">
        <v>230</v>
      </c>
      <c r="E651" s="5" t="s">
        <v>1263</v>
      </c>
      <c r="F651" s="5" t="s">
        <v>1264</v>
      </c>
      <c r="G651" s="5"/>
      <c r="H651" s="5" t="s">
        <v>802</v>
      </c>
      <c r="I651" s="5" t="s">
        <v>216</v>
      </c>
      <c r="J651" s="5" t="s">
        <v>24</v>
      </c>
      <c r="K651" s="5"/>
    </row>
    <row r="652" spans="1:11" x14ac:dyDescent="0.25">
      <c r="A652" s="10">
        <v>45560</v>
      </c>
      <c r="B652" s="9" t="s">
        <v>1265</v>
      </c>
      <c r="C652" s="9">
        <v>29</v>
      </c>
      <c r="D652" s="5" t="s">
        <v>230</v>
      </c>
      <c r="E652" s="9" t="s">
        <v>112</v>
      </c>
      <c r="F652" s="9" t="s">
        <v>1266</v>
      </c>
      <c r="G652" s="9"/>
      <c r="H652" s="5" t="s">
        <v>802</v>
      </c>
      <c r="I652" s="9" t="s">
        <v>231</v>
      </c>
      <c r="J652" s="5" t="s">
        <v>24</v>
      </c>
      <c r="K652" s="9"/>
    </row>
    <row r="653" spans="1:11" x14ac:dyDescent="0.25">
      <c r="A653" s="4">
        <v>45560</v>
      </c>
      <c r="B653" s="5" t="s">
        <v>1267</v>
      </c>
      <c r="C653" s="5">
        <v>82</v>
      </c>
      <c r="D653" s="5" t="s">
        <v>1680</v>
      </c>
      <c r="E653" s="5" t="s">
        <v>89</v>
      </c>
      <c r="F653" s="5" t="s">
        <v>1182</v>
      </c>
      <c r="G653" s="5"/>
      <c r="H653" s="5" t="s">
        <v>802</v>
      </c>
      <c r="I653" s="5" t="s">
        <v>825</v>
      </c>
      <c r="J653" s="9" t="s">
        <v>9</v>
      </c>
      <c r="K653" s="5"/>
    </row>
    <row r="654" spans="1:11" x14ac:dyDescent="0.25">
      <c r="A654" s="10">
        <v>45560</v>
      </c>
      <c r="B654" s="9" t="s">
        <v>1268</v>
      </c>
      <c r="C654" s="9">
        <v>67</v>
      </c>
      <c r="D654" s="5" t="s">
        <v>100</v>
      </c>
      <c r="E654" s="9" t="s">
        <v>1269</v>
      </c>
      <c r="F654" s="9" t="s">
        <v>1270</v>
      </c>
      <c r="G654" s="9"/>
      <c r="H654" s="5" t="s">
        <v>802</v>
      </c>
      <c r="I654" s="9" t="s">
        <v>825</v>
      </c>
      <c r="J654" s="9" t="s">
        <v>9</v>
      </c>
      <c r="K654" s="9"/>
    </row>
    <row r="655" spans="1:11" x14ac:dyDescent="0.25">
      <c r="A655" s="4">
        <v>45560</v>
      </c>
      <c r="B655" s="5" t="s">
        <v>1271</v>
      </c>
      <c r="C655" s="5">
        <v>76</v>
      </c>
      <c r="D655" s="5" t="s">
        <v>18</v>
      </c>
      <c r="E655" s="5" t="s">
        <v>1272</v>
      </c>
      <c r="F655" s="5" t="s">
        <v>1273</v>
      </c>
      <c r="G655" s="5"/>
      <c r="H655" s="5" t="s">
        <v>802</v>
      </c>
      <c r="I655" s="5" t="s">
        <v>825</v>
      </c>
      <c r="J655" s="9" t="s">
        <v>9</v>
      </c>
      <c r="K655" s="5"/>
    </row>
    <row r="656" spans="1:11" x14ac:dyDescent="0.25">
      <c r="A656" s="10">
        <v>45562</v>
      </c>
      <c r="B656" s="9" t="s">
        <v>1274</v>
      </c>
      <c r="C656" s="9">
        <v>38</v>
      </c>
      <c r="D656" s="8" t="s">
        <v>120</v>
      </c>
      <c r="E656" s="9" t="s">
        <v>112</v>
      </c>
      <c r="F656" s="9" t="s">
        <v>1124</v>
      </c>
      <c r="G656" s="9"/>
      <c r="H656" s="5" t="s">
        <v>802</v>
      </c>
      <c r="I656" s="9" t="s">
        <v>825</v>
      </c>
      <c r="J656" s="5" t="s">
        <v>24</v>
      </c>
      <c r="K656" s="9"/>
    </row>
    <row r="657" spans="1:11" x14ac:dyDescent="0.25">
      <c r="A657" s="4">
        <v>45565</v>
      </c>
      <c r="B657" s="5" t="s">
        <v>1275</v>
      </c>
      <c r="C657" s="5">
        <v>71</v>
      </c>
      <c r="D657" s="5" t="s">
        <v>1680</v>
      </c>
      <c r="E657" s="5" t="s">
        <v>1276</v>
      </c>
      <c r="F657" s="5" t="s">
        <v>1182</v>
      </c>
      <c r="G657" s="5"/>
      <c r="H657" s="5" t="s">
        <v>802</v>
      </c>
      <c r="I657" s="5" t="s">
        <v>1277</v>
      </c>
      <c r="J657" s="9" t="s">
        <v>9</v>
      </c>
      <c r="K657" s="5"/>
    </row>
    <row r="658" spans="1:11" x14ac:dyDescent="0.25">
      <c r="A658" s="10">
        <v>45565</v>
      </c>
      <c r="B658" s="9" t="s">
        <v>1279</v>
      </c>
      <c r="C658" s="9">
        <v>54</v>
      </c>
      <c r="D658" s="9" t="s">
        <v>17</v>
      </c>
      <c r="E658" s="9"/>
      <c r="F658" s="9" t="s">
        <v>1280</v>
      </c>
      <c r="G658" s="9"/>
      <c r="H658" s="5" t="s">
        <v>802</v>
      </c>
      <c r="I658" s="9" t="s">
        <v>1281</v>
      </c>
      <c r="J658" s="9" t="s">
        <v>9</v>
      </c>
      <c r="K658" s="9" t="s">
        <v>1278</v>
      </c>
    </row>
    <row r="659" spans="1:11" x14ac:dyDescent="0.25">
      <c r="A659" s="4">
        <v>45566</v>
      </c>
      <c r="B659" s="5" t="s">
        <v>1282</v>
      </c>
      <c r="C659" s="5">
        <v>66</v>
      </c>
      <c r="D659" s="8" t="s">
        <v>163</v>
      </c>
      <c r="E659" s="5" t="s">
        <v>857</v>
      </c>
      <c r="F659" s="5" t="s">
        <v>1283</v>
      </c>
      <c r="G659" s="5"/>
      <c r="H659" s="5" t="s">
        <v>802</v>
      </c>
      <c r="I659" s="5" t="s">
        <v>825</v>
      </c>
      <c r="J659" s="5" t="s">
        <v>24</v>
      </c>
      <c r="K659" s="5"/>
    </row>
    <row r="660" spans="1:11" x14ac:dyDescent="0.25">
      <c r="A660" s="10">
        <v>45566</v>
      </c>
      <c r="B660" s="9" t="s">
        <v>1284</v>
      </c>
      <c r="C660" s="9">
        <v>44</v>
      </c>
      <c r="D660" s="8" t="s">
        <v>8</v>
      </c>
      <c r="E660" s="9" t="s">
        <v>1285</v>
      </c>
      <c r="F660" s="9" t="s">
        <v>210</v>
      </c>
      <c r="G660" s="9"/>
      <c r="H660" s="5" t="s">
        <v>802</v>
      </c>
      <c r="I660" s="9" t="s">
        <v>497</v>
      </c>
      <c r="J660" s="5" t="s">
        <v>24</v>
      </c>
      <c r="K660" s="9"/>
    </row>
    <row r="661" spans="1:11" x14ac:dyDescent="0.25">
      <c r="A661" s="4">
        <v>45566</v>
      </c>
      <c r="B661" s="5" t="s">
        <v>1291</v>
      </c>
      <c r="C661" s="5">
        <v>70</v>
      </c>
      <c r="D661" s="5" t="s">
        <v>1680</v>
      </c>
      <c r="E661" s="5" t="s">
        <v>1182</v>
      </c>
      <c r="F661" s="5"/>
      <c r="G661" s="5"/>
      <c r="H661" s="5" t="s">
        <v>802</v>
      </c>
      <c r="I661" s="5" t="s">
        <v>825</v>
      </c>
      <c r="J661" s="9" t="s">
        <v>9</v>
      </c>
      <c r="K661" s="5"/>
    </row>
    <row r="662" spans="1:11" x14ac:dyDescent="0.25">
      <c r="A662" s="10">
        <v>45566</v>
      </c>
      <c r="B662" s="9" t="s">
        <v>1292</v>
      </c>
      <c r="C662" s="9">
        <v>68</v>
      </c>
      <c r="D662" s="8" t="s">
        <v>8</v>
      </c>
      <c r="E662" s="9" t="s">
        <v>862</v>
      </c>
      <c r="F662" s="9" t="s">
        <v>1011</v>
      </c>
      <c r="G662" s="9"/>
      <c r="H662" s="5" t="s">
        <v>802</v>
      </c>
      <c r="I662" s="9" t="s">
        <v>825</v>
      </c>
      <c r="J662" s="9" t="s">
        <v>9</v>
      </c>
      <c r="K662" s="9"/>
    </row>
    <row r="663" spans="1:11" x14ac:dyDescent="0.25">
      <c r="A663" s="4">
        <v>45567</v>
      </c>
      <c r="B663" s="5" t="s">
        <v>1286</v>
      </c>
      <c r="C663" s="5">
        <v>74</v>
      </c>
      <c r="D663" s="8" t="s">
        <v>8</v>
      </c>
      <c r="E663" s="5" t="s">
        <v>1234</v>
      </c>
      <c r="F663" s="5" t="s">
        <v>930</v>
      </c>
      <c r="G663" s="5"/>
      <c r="H663" s="5" t="s">
        <v>802</v>
      </c>
      <c r="I663" s="5" t="s">
        <v>825</v>
      </c>
      <c r="J663" s="9" t="s">
        <v>9</v>
      </c>
      <c r="K663" s="5"/>
    </row>
    <row r="664" spans="1:11" x14ac:dyDescent="0.25">
      <c r="A664" s="10">
        <v>45567</v>
      </c>
      <c r="B664" s="9" t="s">
        <v>1287</v>
      </c>
      <c r="C664" s="9">
        <v>83</v>
      </c>
      <c r="D664" s="5" t="s">
        <v>1680</v>
      </c>
      <c r="E664" s="9" t="s">
        <v>623</v>
      </c>
      <c r="F664" s="9" t="s">
        <v>1288</v>
      </c>
      <c r="G664" s="9"/>
      <c r="H664" s="5" t="s">
        <v>802</v>
      </c>
      <c r="I664" s="9" t="s">
        <v>825</v>
      </c>
      <c r="J664" s="9" t="s">
        <v>9</v>
      </c>
      <c r="K664" s="9"/>
    </row>
    <row r="665" spans="1:11" x14ac:dyDescent="0.25">
      <c r="A665" s="4">
        <v>45567</v>
      </c>
      <c r="B665" s="5" t="s">
        <v>1293</v>
      </c>
      <c r="C665" s="5">
        <v>66</v>
      </c>
      <c r="D665" s="5" t="s">
        <v>214</v>
      </c>
      <c r="E665" s="5" t="s">
        <v>556</v>
      </c>
      <c r="F665" s="5" t="s">
        <v>1294</v>
      </c>
      <c r="G665" s="5"/>
      <c r="H665" s="5" t="s">
        <v>802</v>
      </c>
      <c r="I665" s="5" t="s">
        <v>825</v>
      </c>
      <c r="J665" s="9" t="s">
        <v>9</v>
      </c>
      <c r="K665" s="5"/>
    </row>
    <row r="666" spans="1:11" x14ac:dyDescent="0.25">
      <c r="A666" s="10">
        <v>45567</v>
      </c>
      <c r="B666" s="9" t="s">
        <v>1127</v>
      </c>
      <c r="C666" s="9">
        <v>54</v>
      </c>
      <c r="D666" s="9" t="s">
        <v>17</v>
      </c>
      <c r="E666" s="9" t="s">
        <v>1296</v>
      </c>
      <c r="F666" s="9" t="s">
        <v>1298</v>
      </c>
      <c r="G666" s="9"/>
      <c r="H666" s="5" t="s">
        <v>802</v>
      </c>
      <c r="I666" s="9" t="s">
        <v>601</v>
      </c>
      <c r="J666" s="9" t="s">
        <v>9</v>
      </c>
      <c r="K666" s="9"/>
    </row>
    <row r="667" spans="1:11" x14ac:dyDescent="0.25">
      <c r="A667" s="4">
        <v>45568</v>
      </c>
      <c r="B667" s="5" t="s">
        <v>1295</v>
      </c>
      <c r="C667" s="5">
        <v>68</v>
      </c>
      <c r="D667" s="8" t="s">
        <v>8</v>
      </c>
      <c r="E667" s="5" t="s">
        <v>1296</v>
      </c>
      <c r="F667" s="5" t="s">
        <v>1297</v>
      </c>
      <c r="G667" s="5"/>
      <c r="H667" s="5" t="s">
        <v>802</v>
      </c>
      <c r="I667" s="5" t="s">
        <v>825</v>
      </c>
      <c r="J667" s="9" t="s">
        <v>9</v>
      </c>
      <c r="K667" s="5"/>
    </row>
    <row r="668" spans="1:11" x14ac:dyDescent="0.25">
      <c r="A668" s="10">
        <v>45568</v>
      </c>
      <c r="B668" s="9" t="s">
        <v>1299</v>
      </c>
      <c r="C668" s="9">
        <v>72</v>
      </c>
      <c r="D668" s="9" t="s">
        <v>1678</v>
      </c>
      <c r="E668" s="9" t="s">
        <v>78</v>
      </c>
      <c r="F668" s="9" t="s">
        <v>1300</v>
      </c>
      <c r="G668" s="9"/>
      <c r="H668" s="5" t="s">
        <v>802</v>
      </c>
      <c r="I668" s="9" t="s">
        <v>825</v>
      </c>
      <c r="J668" s="9" t="s">
        <v>9</v>
      </c>
      <c r="K668" s="9"/>
    </row>
    <row r="669" spans="1:11" x14ac:dyDescent="0.25">
      <c r="A669" s="4">
        <v>45568</v>
      </c>
      <c r="B669" s="5" t="s">
        <v>1301</v>
      </c>
      <c r="C669" s="5">
        <v>70</v>
      </c>
      <c r="D669" s="8" t="s">
        <v>8</v>
      </c>
      <c r="E669" s="5" t="s">
        <v>56</v>
      </c>
      <c r="F669" s="5" t="s">
        <v>930</v>
      </c>
      <c r="G669" s="5"/>
      <c r="H669" s="5" t="s">
        <v>802</v>
      </c>
      <c r="I669" s="5" t="s">
        <v>825</v>
      </c>
      <c r="J669" s="9" t="s">
        <v>9</v>
      </c>
      <c r="K669" s="5"/>
    </row>
    <row r="670" spans="1:11" x14ac:dyDescent="0.25">
      <c r="A670" s="10">
        <v>45569</v>
      </c>
      <c r="B670" s="9" t="s">
        <v>1302</v>
      </c>
      <c r="C670" s="9">
        <v>78</v>
      </c>
      <c r="D670" s="9" t="s">
        <v>153</v>
      </c>
      <c r="E670" s="9" t="s">
        <v>43</v>
      </c>
      <c r="F670" s="9" t="s">
        <v>1011</v>
      </c>
      <c r="G670" s="9"/>
      <c r="H670" s="5" t="s">
        <v>802</v>
      </c>
      <c r="I670" s="9" t="s">
        <v>825</v>
      </c>
      <c r="J670" s="9" t="s">
        <v>9</v>
      </c>
      <c r="K670" s="9"/>
    </row>
    <row r="671" spans="1:11" x14ac:dyDescent="0.25">
      <c r="A671" s="4">
        <v>45569</v>
      </c>
      <c r="B671" s="5" t="s">
        <v>1303</v>
      </c>
      <c r="C671" s="5">
        <v>72</v>
      </c>
      <c r="D671" s="8" t="s">
        <v>8</v>
      </c>
      <c r="E671" s="5" t="s">
        <v>78</v>
      </c>
      <c r="F671" s="5" t="s">
        <v>901</v>
      </c>
      <c r="G671" s="5"/>
      <c r="H671" s="5" t="s">
        <v>802</v>
      </c>
      <c r="I671" s="5" t="s">
        <v>825</v>
      </c>
      <c r="J671" s="9" t="s">
        <v>9</v>
      </c>
      <c r="K671" s="5"/>
    </row>
    <row r="672" spans="1:11" x14ac:dyDescent="0.25">
      <c r="A672" s="10">
        <v>45569</v>
      </c>
      <c r="B672" s="9" t="s">
        <v>1308</v>
      </c>
      <c r="C672" s="9">
        <v>69</v>
      </c>
      <c r="D672" s="8" t="s">
        <v>8</v>
      </c>
      <c r="E672" s="9" t="s">
        <v>1315</v>
      </c>
      <c r="F672" s="9" t="s">
        <v>1316</v>
      </c>
      <c r="G672" s="9"/>
      <c r="H672" s="5" t="s">
        <v>802</v>
      </c>
      <c r="I672" s="5" t="s">
        <v>825</v>
      </c>
      <c r="J672" s="9" t="s">
        <v>9</v>
      </c>
      <c r="K672" s="9"/>
    </row>
    <row r="673" spans="1:11" x14ac:dyDescent="0.25">
      <c r="A673" s="4">
        <v>45573</v>
      </c>
      <c r="B673" s="5" t="s">
        <v>1289</v>
      </c>
      <c r="C673" s="5">
        <v>54</v>
      </c>
      <c r="D673" s="9" t="s">
        <v>17</v>
      </c>
      <c r="E673" s="5" t="s">
        <v>1290</v>
      </c>
      <c r="F673" s="5"/>
      <c r="G673" s="5"/>
      <c r="H673" s="5" t="s">
        <v>802</v>
      </c>
      <c r="I673" s="5" t="s">
        <v>825</v>
      </c>
      <c r="J673" s="9" t="s">
        <v>9</v>
      </c>
      <c r="K673" s="5"/>
    </row>
    <row r="674" spans="1:11" x14ac:dyDescent="0.25">
      <c r="A674" s="10">
        <v>45574</v>
      </c>
      <c r="B674" s="9" t="s">
        <v>1304</v>
      </c>
      <c r="C674" s="9">
        <v>72</v>
      </c>
      <c r="D674" s="5" t="s">
        <v>18</v>
      </c>
      <c r="E674" s="9" t="s">
        <v>26</v>
      </c>
      <c r="F674" s="9" t="s">
        <v>1305</v>
      </c>
      <c r="G674" s="9"/>
      <c r="H674" s="5" t="s">
        <v>802</v>
      </c>
      <c r="I674" s="9" t="s">
        <v>825</v>
      </c>
      <c r="J674" s="9" t="s">
        <v>9</v>
      </c>
      <c r="K674" s="9"/>
    </row>
    <row r="675" spans="1:11" x14ac:dyDescent="0.25">
      <c r="A675" s="4">
        <v>45574</v>
      </c>
      <c r="B675" s="5" t="s">
        <v>1306</v>
      </c>
      <c r="C675" s="5">
        <v>75</v>
      </c>
      <c r="D675" s="9" t="s">
        <v>153</v>
      </c>
      <c r="E675" s="5" t="s">
        <v>56</v>
      </c>
      <c r="F675" s="5" t="s">
        <v>930</v>
      </c>
      <c r="G675" s="5"/>
      <c r="H675" s="5" t="s">
        <v>802</v>
      </c>
      <c r="I675" s="5" t="s">
        <v>632</v>
      </c>
      <c r="J675" s="9" t="s">
        <v>9</v>
      </c>
      <c r="K675" s="5"/>
    </row>
    <row r="676" spans="1:11" x14ac:dyDescent="0.25">
      <c r="A676" s="10">
        <v>45574</v>
      </c>
      <c r="B676" s="9" t="s">
        <v>1307</v>
      </c>
      <c r="C676" s="9">
        <v>69</v>
      </c>
      <c r="D676" s="8" t="s">
        <v>8</v>
      </c>
      <c r="E676" s="9" t="s">
        <v>43</v>
      </c>
      <c r="F676" s="9" t="s">
        <v>1011</v>
      </c>
      <c r="G676" s="9"/>
      <c r="H676" s="5" t="s">
        <v>802</v>
      </c>
      <c r="I676" s="9" t="s">
        <v>825</v>
      </c>
      <c r="J676" s="9" t="s">
        <v>9</v>
      </c>
      <c r="K676" s="9"/>
    </row>
    <row r="677" spans="1:11" x14ac:dyDescent="0.25">
      <c r="A677" s="4">
        <v>45574</v>
      </c>
      <c r="B677" s="5" t="s">
        <v>1317</v>
      </c>
      <c r="C677" s="5">
        <v>67</v>
      </c>
      <c r="D677" s="9" t="s">
        <v>17</v>
      </c>
      <c r="E677" s="5" t="s">
        <v>56</v>
      </c>
      <c r="F677" s="5" t="s">
        <v>1318</v>
      </c>
      <c r="G677" s="5"/>
      <c r="H677" s="5" t="s">
        <v>802</v>
      </c>
      <c r="I677" s="5" t="s">
        <v>825</v>
      </c>
      <c r="J677" s="9" t="s">
        <v>9</v>
      </c>
      <c r="K677" s="5"/>
    </row>
    <row r="678" spans="1:11" x14ac:dyDescent="0.25">
      <c r="A678" s="10">
        <v>45574</v>
      </c>
      <c r="B678" s="9" t="s">
        <v>1321</v>
      </c>
      <c r="C678" s="9">
        <v>66</v>
      </c>
      <c r="D678" s="9" t="s">
        <v>1678</v>
      </c>
      <c r="E678" s="9" t="s">
        <v>612</v>
      </c>
      <c r="F678" s="9" t="s">
        <v>1067</v>
      </c>
      <c r="G678" s="9"/>
      <c r="H678" s="5" t="s">
        <v>802</v>
      </c>
      <c r="I678" s="9" t="s">
        <v>632</v>
      </c>
      <c r="J678" s="9" t="s">
        <v>9</v>
      </c>
      <c r="K678" s="9"/>
    </row>
    <row r="679" spans="1:11" x14ac:dyDescent="0.25">
      <c r="A679" s="4">
        <v>45574</v>
      </c>
      <c r="B679" s="5" t="s">
        <v>1322</v>
      </c>
      <c r="C679" s="5">
        <v>70</v>
      </c>
      <c r="D679" s="8" t="s">
        <v>8</v>
      </c>
      <c r="E679" s="5" t="s">
        <v>1315</v>
      </c>
      <c r="F679" s="5" t="s">
        <v>1323</v>
      </c>
      <c r="G679" s="5"/>
      <c r="H679" s="5" t="s">
        <v>802</v>
      </c>
      <c r="I679" s="5" t="s">
        <v>825</v>
      </c>
      <c r="J679" s="9" t="s">
        <v>9</v>
      </c>
      <c r="K679" s="5"/>
    </row>
    <row r="680" spans="1:11" x14ac:dyDescent="0.25">
      <c r="A680" s="10">
        <v>45575</v>
      </c>
      <c r="B680" s="9" t="s">
        <v>1324</v>
      </c>
      <c r="C680" s="9"/>
      <c r="D680" s="8" t="s">
        <v>8</v>
      </c>
      <c r="E680" s="9" t="s">
        <v>43</v>
      </c>
      <c r="F680" s="9" t="s">
        <v>1325</v>
      </c>
      <c r="G680" s="9"/>
      <c r="H680" s="5" t="s">
        <v>802</v>
      </c>
      <c r="I680" s="5" t="s">
        <v>825</v>
      </c>
      <c r="J680" s="9" t="s">
        <v>9</v>
      </c>
      <c r="K680" s="9"/>
    </row>
    <row r="681" spans="1:11" x14ac:dyDescent="0.25">
      <c r="A681" s="4">
        <v>45579</v>
      </c>
      <c r="B681" s="5" t="s">
        <v>1309</v>
      </c>
      <c r="C681" s="5">
        <v>78</v>
      </c>
      <c r="D681" s="5" t="s">
        <v>18</v>
      </c>
      <c r="E681" s="5" t="s">
        <v>125</v>
      </c>
      <c r="F681" s="5" t="s">
        <v>1130</v>
      </c>
      <c r="G681" s="5" t="s">
        <v>33</v>
      </c>
      <c r="H681" s="5" t="s">
        <v>802</v>
      </c>
      <c r="I681" s="5" t="s">
        <v>825</v>
      </c>
      <c r="J681" s="9" t="s">
        <v>9</v>
      </c>
      <c r="K681" s="5"/>
    </row>
    <row r="682" spans="1:11" x14ac:dyDescent="0.25">
      <c r="A682" s="10">
        <v>45579</v>
      </c>
      <c r="B682" s="9" t="s">
        <v>1319</v>
      </c>
      <c r="C682" s="9">
        <v>62</v>
      </c>
      <c r="D682" s="8" t="s">
        <v>163</v>
      </c>
      <c r="E682" s="9" t="s">
        <v>1021</v>
      </c>
      <c r="F682" s="9" t="s">
        <v>1320</v>
      </c>
      <c r="G682" s="9"/>
      <c r="H682" s="5" t="s">
        <v>802</v>
      </c>
      <c r="I682" s="5" t="s">
        <v>825</v>
      </c>
      <c r="J682" s="9" t="s">
        <v>9</v>
      </c>
      <c r="K682" s="9"/>
    </row>
    <row r="683" spans="1:11" x14ac:dyDescent="0.25">
      <c r="A683" s="4">
        <v>45580</v>
      </c>
      <c r="B683" s="5" t="s">
        <v>1310</v>
      </c>
      <c r="C683" s="5">
        <v>78</v>
      </c>
      <c r="D683" s="5" t="s">
        <v>18</v>
      </c>
      <c r="E683" s="5" t="s">
        <v>26</v>
      </c>
      <c r="F683" s="5" t="s">
        <v>892</v>
      </c>
      <c r="G683" s="5" t="s">
        <v>33</v>
      </c>
      <c r="H683" s="5" t="s">
        <v>802</v>
      </c>
      <c r="I683" s="5" t="s">
        <v>825</v>
      </c>
      <c r="J683" s="9" t="s">
        <v>9</v>
      </c>
      <c r="K683" s="5"/>
    </row>
    <row r="684" spans="1:11" x14ac:dyDescent="0.25">
      <c r="A684" s="10">
        <v>45580</v>
      </c>
      <c r="B684" s="9" t="s">
        <v>1311</v>
      </c>
      <c r="C684" s="9">
        <v>76</v>
      </c>
      <c r="D684" s="9"/>
      <c r="E684" s="9" t="s">
        <v>78</v>
      </c>
      <c r="F684" s="9" t="s">
        <v>930</v>
      </c>
      <c r="G684" s="9"/>
      <c r="H684" s="5" t="s">
        <v>802</v>
      </c>
      <c r="I684" s="5" t="s">
        <v>825</v>
      </c>
      <c r="J684" s="9" t="s">
        <v>9</v>
      </c>
      <c r="K684" s="9"/>
    </row>
    <row r="685" spans="1:11" x14ac:dyDescent="0.25">
      <c r="A685" s="4">
        <v>45580</v>
      </c>
      <c r="B685" s="5" t="s">
        <v>1312</v>
      </c>
      <c r="C685" s="5">
        <v>77</v>
      </c>
      <c r="D685" s="5" t="s">
        <v>665</v>
      </c>
      <c r="E685" s="5" t="s">
        <v>1313</v>
      </c>
      <c r="F685" s="5" t="s">
        <v>1314</v>
      </c>
      <c r="G685" s="5"/>
      <c r="H685" s="5" t="s">
        <v>802</v>
      </c>
      <c r="I685" s="5" t="s">
        <v>825</v>
      </c>
      <c r="J685" s="9" t="s">
        <v>9</v>
      </c>
      <c r="K685" s="5"/>
    </row>
    <row r="686" spans="1:11" x14ac:dyDescent="0.25">
      <c r="A686" s="10">
        <v>45580</v>
      </c>
      <c r="B686" s="9" t="s">
        <v>1326</v>
      </c>
      <c r="C686" s="9">
        <v>68</v>
      </c>
      <c r="D686" s="9" t="s">
        <v>1678</v>
      </c>
      <c r="E686" s="9" t="s">
        <v>43</v>
      </c>
      <c r="F686" s="9" t="s">
        <v>1327</v>
      </c>
      <c r="G686" s="9"/>
      <c r="H686" s="5" t="s">
        <v>802</v>
      </c>
      <c r="I686" s="5" t="s">
        <v>825</v>
      </c>
      <c r="J686" s="9" t="s">
        <v>9</v>
      </c>
      <c r="K686" s="9"/>
    </row>
    <row r="687" spans="1:11" x14ac:dyDescent="0.25">
      <c r="A687" s="4">
        <v>45583</v>
      </c>
      <c r="B687" s="5" t="s">
        <v>1328</v>
      </c>
      <c r="C687" s="5">
        <v>61</v>
      </c>
      <c r="D687" s="5" t="s">
        <v>18</v>
      </c>
      <c r="E687" s="5" t="s">
        <v>125</v>
      </c>
      <c r="F687" s="5" t="s">
        <v>1182</v>
      </c>
      <c r="G687" s="5"/>
      <c r="H687" s="5" t="s">
        <v>802</v>
      </c>
      <c r="I687" s="5" t="s">
        <v>825</v>
      </c>
      <c r="J687" s="9" t="s">
        <v>9</v>
      </c>
      <c r="K687" s="5"/>
    </row>
    <row r="688" spans="1:11" x14ac:dyDescent="0.25">
      <c r="A688" s="10">
        <v>45584</v>
      </c>
      <c r="B688" s="9" t="s">
        <v>1329</v>
      </c>
      <c r="C688" s="9">
        <v>24</v>
      </c>
      <c r="D688" s="8" t="s">
        <v>8</v>
      </c>
      <c r="E688" s="9" t="s">
        <v>1330</v>
      </c>
      <c r="F688" s="9" t="s">
        <v>1331</v>
      </c>
      <c r="G688" s="9"/>
      <c r="H688" s="5" t="s">
        <v>802</v>
      </c>
      <c r="I688" s="9"/>
      <c r="J688" s="5" t="s">
        <v>24</v>
      </c>
      <c r="K688" s="9"/>
    </row>
    <row r="689" spans="1:11" x14ac:dyDescent="0.25">
      <c r="A689" s="4">
        <v>45586</v>
      </c>
      <c r="B689" s="5" t="s">
        <v>1332</v>
      </c>
      <c r="C689" s="5">
        <v>88</v>
      </c>
      <c r="D689" s="5" t="s">
        <v>18</v>
      </c>
      <c r="E689" s="5" t="s">
        <v>1333</v>
      </c>
      <c r="F689" s="5" t="s">
        <v>1182</v>
      </c>
      <c r="G689" s="5"/>
      <c r="H689" s="5" t="s">
        <v>802</v>
      </c>
      <c r="I689" s="5" t="s">
        <v>825</v>
      </c>
      <c r="J689" s="9" t="s">
        <v>9</v>
      </c>
      <c r="K689" s="5"/>
    </row>
    <row r="690" spans="1:11" x14ac:dyDescent="0.25">
      <c r="A690" s="10">
        <v>45586</v>
      </c>
      <c r="B690" s="9" t="s">
        <v>1334</v>
      </c>
      <c r="C690" s="9">
        <v>66</v>
      </c>
      <c r="D690" s="5" t="s">
        <v>18</v>
      </c>
      <c r="E690" s="9" t="s">
        <v>125</v>
      </c>
      <c r="F690" s="9" t="s">
        <v>1182</v>
      </c>
      <c r="G690" s="9"/>
      <c r="H690" s="5" t="s">
        <v>802</v>
      </c>
      <c r="I690" s="5" t="s">
        <v>825</v>
      </c>
      <c r="J690" s="9" t="s">
        <v>9</v>
      </c>
      <c r="K690" s="9"/>
    </row>
    <row r="691" spans="1:11" x14ac:dyDescent="0.25">
      <c r="A691" s="4">
        <v>45587</v>
      </c>
      <c r="B691" s="5" t="s">
        <v>1341</v>
      </c>
      <c r="C691" s="5">
        <v>64</v>
      </c>
      <c r="D691" s="5"/>
      <c r="E691" s="5" t="s">
        <v>1342</v>
      </c>
      <c r="F691" s="5" t="s">
        <v>78</v>
      </c>
      <c r="G691" s="5"/>
      <c r="H691" s="5" t="s">
        <v>802</v>
      </c>
      <c r="I691" s="5" t="s">
        <v>825</v>
      </c>
      <c r="J691" s="9" t="s">
        <v>9</v>
      </c>
      <c r="K691" s="5"/>
    </row>
    <row r="692" spans="1:11" x14ac:dyDescent="0.25">
      <c r="A692" s="10">
        <v>45587</v>
      </c>
      <c r="B692" s="9" t="s">
        <v>1120</v>
      </c>
      <c r="C692" s="9">
        <v>56</v>
      </c>
      <c r="D692" s="8" t="s">
        <v>8</v>
      </c>
      <c r="E692" s="9" t="s">
        <v>1345</v>
      </c>
      <c r="F692" s="9" t="s">
        <v>1346</v>
      </c>
      <c r="G692" s="9"/>
      <c r="H692" s="5" t="s">
        <v>802</v>
      </c>
      <c r="I692" s="5" t="s">
        <v>825</v>
      </c>
      <c r="J692" s="9" t="s">
        <v>9</v>
      </c>
      <c r="K692" s="9"/>
    </row>
    <row r="693" spans="1:11" x14ac:dyDescent="0.25">
      <c r="A693" s="4">
        <v>45588</v>
      </c>
      <c r="B693" s="5" t="s">
        <v>1335</v>
      </c>
      <c r="C693" s="5">
        <v>82</v>
      </c>
      <c r="D693" s="5" t="s">
        <v>18</v>
      </c>
      <c r="E693" s="5" t="s">
        <v>1336</v>
      </c>
      <c r="F693" s="5" t="s">
        <v>1337</v>
      </c>
      <c r="G693" s="5"/>
      <c r="H693" s="5" t="s">
        <v>802</v>
      </c>
      <c r="I693" s="5" t="s">
        <v>825</v>
      </c>
      <c r="J693" s="9" t="s">
        <v>9</v>
      </c>
      <c r="K693" s="5"/>
    </row>
    <row r="694" spans="1:11" x14ac:dyDescent="0.25">
      <c r="A694" s="10">
        <v>45589</v>
      </c>
      <c r="B694" s="9" t="s">
        <v>1338</v>
      </c>
      <c r="C694" s="9">
        <v>68</v>
      </c>
      <c r="D694" s="8" t="s">
        <v>120</v>
      </c>
      <c r="E694" s="9" t="s">
        <v>1339</v>
      </c>
      <c r="F694" s="9" t="s">
        <v>1340</v>
      </c>
      <c r="G694" s="9"/>
      <c r="H694" s="5" t="s">
        <v>802</v>
      </c>
      <c r="I694" s="5" t="s">
        <v>825</v>
      </c>
      <c r="J694" s="9" t="s">
        <v>9</v>
      </c>
      <c r="K694" s="9"/>
    </row>
    <row r="695" spans="1:11" x14ac:dyDescent="0.25">
      <c r="A695" s="4">
        <v>45589</v>
      </c>
      <c r="B695" s="5" t="s">
        <v>1343</v>
      </c>
      <c r="C695" s="5">
        <v>54</v>
      </c>
      <c r="D695" s="9" t="s">
        <v>1678</v>
      </c>
      <c r="E695" s="5" t="s">
        <v>43</v>
      </c>
      <c r="F695" s="5" t="s">
        <v>357</v>
      </c>
      <c r="G695" s="5"/>
      <c r="H695" s="5" t="s">
        <v>802</v>
      </c>
      <c r="I695" s="5" t="s">
        <v>825</v>
      </c>
      <c r="J695" s="5" t="s">
        <v>24</v>
      </c>
      <c r="K695" s="5"/>
    </row>
    <row r="696" spans="1:11" x14ac:dyDescent="0.25">
      <c r="A696" s="10">
        <v>45590</v>
      </c>
      <c r="B696" s="9" t="s">
        <v>265</v>
      </c>
      <c r="C696" s="9">
        <v>64</v>
      </c>
      <c r="D696" s="8" t="s">
        <v>8</v>
      </c>
      <c r="E696" s="9" t="s">
        <v>1344</v>
      </c>
      <c r="F696" s="9"/>
      <c r="G696" s="9"/>
      <c r="H696" s="5" t="s">
        <v>802</v>
      </c>
      <c r="I696" s="5" t="s">
        <v>825</v>
      </c>
      <c r="J696" s="9" t="s">
        <v>9</v>
      </c>
      <c r="K696" s="9"/>
    </row>
    <row r="697" spans="1:11" x14ac:dyDescent="0.25">
      <c r="A697" s="4">
        <v>45593</v>
      </c>
      <c r="B697" s="5" t="s">
        <v>1347</v>
      </c>
      <c r="C697" s="5">
        <v>28</v>
      </c>
      <c r="D697" s="9" t="s">
        <v>1551</v>
      </c>
      <c r="E697" s="5" t="s">
        <v>112</v>
      </c>
      <c r="F697" s="5" t="s">
        <v>1348</v>
      </c>
      <c r="G697" s="5"/>
      <c r="H697" s="5" t="s">
        <v>802</v>
      </c>
      <c r="I697" s="5" t="s">
        <v>1349</v>
      </c>
      <c r="J697" s="5" t="s">
        <v>24</v>
      </c>
      <c r="K697" s="5"/>
    </row>
    <row r="698" spans="1:11" x14ac:dyDescent="0.25">
      <c r="A698" s="10">
        <v>45593</v>
      </c>
      <c r="B698" s="9" t="s">
        <v>1350</v>
      </c>
      <c r="C698" s="9">
        <v>45</v>
      </c>
      <c r="D698" s="9" t="s">
        <v>1551</v>
      </c>
      <c r="E698" s="9" t="s">
        <v>112</v>
      </c>
      <c r="F698" s="9" t="s">
        <v>1348</v>
      </c>
      <c r="G698" s="9"/>
      <c r="H698" s="5" t="s">
        <v>802</v>
      </c>
      <c r="I698" s="9" t="s">
        <v>1349</v>
      </c>
      <c r="J698" s="5" t="s">
        <v>24</v>
      </c>
      <c r="K698" s="9"/>
    </row>
    <row r="699" spans="1:11" x14ac:dyDescent="0.25">
      <c r="A699" s="4">
        <v>45593</v>
      </c>
      <c r="B699" s="5" t="s">
        <v>1351</v>
      </c>
      <c r="C699" s="5">
        <v>26</v>
      </c>
      <c r="D699" s="9" t="s">
        <v>1551</v>
      </c>
      <c r="E699" s="5" t="s">
        <v>112</v>
      </c>
      <c r="F699" s="5" t="s">
        <v>1348</v>
      </c>
      <c r="G699" s="5"/>
      <c r="H699" s="5" t="s">
        <v>802</v>
      </c>
      <c r="I699" s="5" t="s">
        <v>1349</v>
      </c>
      <c r="J699" s="5" t="s">
        <v>24</v>
      </c>
      <c r="K699" s="5"/>
    </row>
    <row r="700" spans="1:11" x14ac:dyDescent="0.25">
      <c r="A700" s="10">
        <v>45593</v>
      </c>
      <c r="B700" s="9" t="s">
        <v>1355</v>
      </c>
      <c r="C700" s="9">
        <v>53</v>
      </c>
      <c r="D700" s="5" t="s">
        <v>18</v>
      </c>
      <c r="E700" s="9" t="s">
        <v>1356</v>
      </c>
      <c r="F700" s="9" t="s">
        <v>1357</v>
      </c>
      <c r="G700" s="9"/>
      <c r="H700" s="5" t="s">
        <v>802</v>
      </c>
      <c r="I700" s="9"/>
      <c r="J700" s="5" t="s">
        <v>24</v>
      </c>
      <c r="K700" s="9"/>
    </row>
    <row r="701" spans="1:11" x14ac:dyDescent="0.25">
      <c r="A701" s="4">
        <v>45595</v>
      </c>
      <c r="B701" s="5" t="s">
        <v>1352</v>
      </c>
      <c r="C701" s="5">
        <v>41</v>
      </c>
      <c r="D701" s="5" t="s">
        <v>100</v>
      </c>
      <c r="E701" s="5" t="s">
        <v>1353</v>
      </c>
      <c r="F701" s="5" t="s">
        <v>1354</v>
      </c>
      <c r="G701" s="5"/>
      <c r="H701" s="5" t="s">
        <v>802</v>
      </c>
      <c r="I701" s="5" t="s">
        <v>825</v>
      </c>
      <c r="J701" s="5" t="s">
        <v>24</v>
      </c>
      <c r="K701" s="5"/>
    </row>
    <row r="702" spans="1:11" x14ac:dyDescent="0.25">
      <c r="A702" s="10">
        <v>45595</v>
      </c>
      <c r="B702" s="9" t="s">
        <v>1358</v>
      </c>
      <c r="C702" s="9">
        <v>16</v>
      </c>
      <c r="D702" s="5" t="s">
        <v>230</v>
      </c>
      <c r="E702" s="9" t="s">
        <v>1359</v>
      </c>
      <c r="F702" s="9" t="s">
        <v>112</v>
      </c>
      <c r="G702" s="9"/>
      <c r="H702" s="5" t="s">
        <v>802</v>
      </c>
      <c r="I702" s="9" t="s">
        <v>1277</v>
      </c>
      <c r="J702" s="5" t="s">
        <v>24</v>
      </c>
      <c r="K702" s="9"/>
    </row>
    <row r="703" spans="1:11" x14ac:dyDescent="0.25">
      <c r="A703" s="4">
        <v>45595</v>
      </c>
      <c r="B703" s="5" t="s">
        <v>1360</v>
      </c>
      <c r="C703" s="5">
        <v>59</v>
      </c>
      <c r="D703" s="5" t="s">
        <v>100</v>
      </c>
      <c r="E703" s="5" t="s">
        <v>1361</v>
      </c>
      <c r="F703" s="5" t="s">
        <v>56</v>
      </c>
      <c r="G703" s="5"/>
      <c r="H703" s="5" t="s">
        <v>802</v>
      </c>
      <c r="I703" s="5"/>
      <c r="J703" s="5" t="s">
        <v>24</v>
      </c>
      <c r="K703" s="5"/>
    </row>
    <row r="704" spans="1:11" x14ac:dyDescent="0.25">
      <c r="A704" s="10">
        <v>45595</v>
      </c>
      <c r="B704" s="9" t="s">
        <v>1362</v>
      </c>
      <c r="C704" s="9">
        <v>27</v>
      </c>
      <c r="D704" s="5" t="s">
        <v>230</v>
      </c>
      <c r="E704" s="9" t="s">
        <v>112</v>
      </c>
      <c r="F704" s="9" t="s">
        <v>1363</v>
      </c>
      <c r="G704" s="9"/>
      <c r="H704" s="5" t="s">
        <v>802</v>
      </c>
      <c r="I704" s="9" t="s">
        <v>1364</v>
      </c>
      <c r="J704" s="5" t="s">
        <v>24</v>
      </c>
      <c r="K704" s="9"/>
    </row>
    <row r="705" spans="1:11" x14ac:dyDescent="0.25">
      <c r="A705" s="4">
        <v>45596</v>
      </c>
      <c r="B705" s="5" t="s">
        <v>1365</v>
      </c>
      <c r="C705" s="5">
        <v>54</v>
      </c>
      <c r="D705" s="8" t="s">
        <v>120</v>
      </c>
      <c r="E705" s="5" t="s">
        <v>1366</v>
      </c>
      <c r="F705" s="5" t="s">
        <v>1367</v>
      </c>
      <c r="G705" s="5"/>
      <c r="H705" s="5" t="s">
        <v>802</v>
      </c>
      <c r="I705" s="5" t="s">
        <v>1277</v>
      </c>
      <c r="J705" s="5" t="s">
        <v>24</v>
      </c>
      <c r="K705" s="5"/>
    </row>
    <row r="706" spans="1:11" x14ac:dyDescent="0.25">
      <c r="A706" s="10">
        <v>45596</v>
      </c>
      <c r="B706" s="9" t="s">
        <v>1368</v>
      </c>
      <c r="C706" s="9">
        <v>55</v>
      </c>
      <c r="D706" s="9" t="s">
        <v>1678</v>
      </c>
      <c r="E706" s="9" t="s">
        <v>1369</v>
      </c>
      <c r="F706" s="9" t="s">
        <v>1370</v>
      </c>
      <c r="G706" s="9"/>
      <c r="H706" s="5" t="s">
        <v>802</v>
      </c>
      <c r="I706" s="9" t="s">
        <v>601</v>
      </c>
      <c r="J706" s="5" t="s">
        <v>24</v>
      </c>
      <c r="K706" s="9"/>
    </row>
    <row r="707" spans="1:11" x14ac:dyDescent="0.25">
      <c r="A707" s="4">
        <v>45596</v>
      </c>
      <c r="B707" s="5" t="s">
        <v>1371</v>
      </c>
      <c r="C707" s="5">
        <v>34</v>
      </c>
      <c r="D707" s="8" t="s">
        <v>120</v>
      </c>
      <c r="E707" s="5" t="s">
        <v>1372</v>
      </c>
      <c r="F707" s="5" t="s">
        <v>1373</v>
      </c>
      <c r="G707" s="5"/>
      <c r="H707" s="5" t="s">
        <v>802</v>
      </c>
      <c r="I707" s="5" t="s">
        <v>825</v>
      </c>
      <c r="J707" s="5" t="s">
        <v>24</v>
      </c>
      <c r="K707" s="5"/>
    </row>
    <row r="708" spans="1:11" x14ac:dyDescent="0.25">
      <c r="A708" s="10">
        <v>45596</v>
      </c>
      <c r="B708" s="9" t="s">
        <v>1374</v>
      </c>
      <c r="C708" s="9">
        <v>25</v>
      </c>
      <c r="D708" s="8" t="s">
        <v>120</v>
      </c>
      <c r="E708" s="9" t="s">
        <v>112</v>
      </c>
      <c r="F708" s="9" t="s">
        <v>1124</v>
      </c>
      <c r="G708" s="9"/>
      <c r="H708" s="5" t="s">
        <v>802</v>
      </c>
      <c r="I708" s="9" t="s">
        <v>303</v>
      </c>
      <c r="J708" s="5" t="s">
        <v>24</v>
      </c>
      <c r="K708" s="9"/>
    </row>
    <row r="709" spans="1:11" x14ac:dyDescent="0.25">
      <c r="A709" s="4">
        <v>45596</v>
      </c>
      <c r="B709" s="5" t="s">
        <v>1375</v>
      </c>
      <c r="C709" s="5"/>
      <c r="D709" s="8" t="s">
        <v>120</v>
      </c>
      <c r="E709" s="5" t="s">
        <v>112</v>
      </c>
      <c r="F709" s="5" t="s">
        <v>1124</v>
      </c>
      <c r="G709" s="5"/>
      <c r="H709" s="5" t="s">
        <v>802</v>
      </c>
      <c r="I709" s="5" t="s">
        <v>825</v>
      </c>
      <c r="J709" s="5" t="s">
        <v>24</v>
      </c>
      <c r="K709" s="5"/>
    </row>
    <row r="710" spans="1:11" x14ac:dyDescent="0.25">
      <c r="A710" s="10">
        <v>45597</v>
      </c>
      <c r="B710" s="9" t="s">
        <v>1376</v>
      </c>
      <c r="C710" s="9">
        <v>57</v>
      </c>
      <c r="D710" s="5" t="s">
        <v>214</v>
      </c>
      <c r="E710" s="9" t="s">
        <v>1377</v>
      </c>
      <c r="F710" s="9" t="s">
        <v>1378</v>
      </c>
      <c r="G710" s="9"/>
      <c r="H710" s="5" t="s">
        <v>802</v>
      </c>
      <c r="I710" s="9" t="s">
        <v>525</v>
      </c>
      <c r="J710" s="5" t="s">
        <v>24</v>
      </c>
      <c r="K710" s="9"/>
    </row>
    <row r="711" spans="1:11" x14ac:dyDescent="0.25">
      <c r="A711" s="4">
        <v>45597</v>
      </c>
      <c r="B711" s="5" t="s">
        <v>1379</v>
      </c>
      <c r="C711" s="5">
        <v>69</v>
      </c>
      <c r="D711" s="9" t="s">
        <v>17</v>
      </c>
      <c r="E711" s="5" t="s">
        <v>1369</v>
      </c>
      <c r="F711" s="5" t="s">
        <v>1380</v>
      </c>
      <c r="G711" s="5"/>
      <c r="H711" s="5" t="s">
        <v>802</v>
      </c>
      <c r="I711" s="5" t="s">
        <v>825</v>
      </c>
      <c r="J711" s="9" t="s">
        <v>9</v>
      </c>
      <c r="K711" s="5"/>
    </row>
    <row r="712" spans="1:11" x14ac:dyDescent="0.25">
      <c r="A712" s="10">
        <v>45597</v>
      </c>
      <c r="B712" s="9" t="s">
        <v>1381</v>
      </c>
      <c r="C712" s="9">
        <v>67</v>
      </c>
      <c r="D712" s="9" t="s">
        <v>17</v>
      </c>
      <c r="E712" s="9" t="s">
        <v>1382</v>
      </c>
      <c r="F712" s="9" t="s">
        <v>1383</v>
      </c>
      <c r="G712" s="9"/>
      <c r="H712" s="5" t="s">
        <v>802</v>
      </c>
      <c r="I712" s="5" t="s">
        <v>825</v>
      </c>
      <c r="J712" s="9" t="s">
        <v>9</v>
      </c>
      <c r="K712" s="9"/>
    </row>
    <row r="713" spans="1:11" x14ac:dyDescent="0.25">
      <c r="A713" s="4">
        <v>45597</v>
      </c>
      <c r="B713" s="5" t="s">
        <v>1384</v>
      </c>
      <c r="C713" s="5">
        <v>62</v>
      </c>
      <c r="D713" s="5" t="s">
        <v>230</v>
      </c>
      <c r="E713" s="5" t="s">
        <v>1385</v>
      </c>
      <c r="F713" s="5" t="s">
        <v>1386</v>
      </c>
      <c r="G713" s="5"/>
      <c r="H713" s="5" t="s">
        <v>802</v>
      </c>
      <c r="I713" s="5" t="s">
        <v>825</v>
      </c>
      <c r="J713" s="9" t="s">
        <v>9</v>
      </c>
      <c r="K713" s="5"/>
    </row>
    <row r="714" spans="1:11" x14ac:dyDescent="0.25">
      <c r="A714" s="10">
        <v>45597</v>
      </c>
      <c r="B714" s="9" t="s">
        <v>1387</v>
      </c>
      <c r="C714" s="9">
        <v>84</v>
      </c>
      <c r="D714" s="5" t="s">
        <v>214</v>
      </c>
      <c r="E714" s="9" t="s">
        <v>1336</v>
      </c>
      <c r="F714" s="9" t="s">
        <v>1388</v>
      </c>
      <c r="G714" s="9"/>
      <c r="H714" s="5" t="s">
        <v>802</v>
      </c>
      <c r="I714" s="9" t="s">
        <v>825</v>
      </c>
      <c r="J714" s="9" t="s">
        <v>9</v>
      </c>
      <c r="K714" s="9"/>
    </row>
    <row r="715" spans="1:11" x14ac:dyDescent="0.25">
      <c r="A715" s="4">
        <v>45598</v>
      </c>
      <c r="B715" s="5" t="s">
        <v>1389</v>
      </c>
      <c r="C715" s="5">
        <v>66</v>
      </c>
      <c r="D715" s="5" t="s">
        <v>214</v>
      </c>
      <c r="E715" s="5" t="s">
        <v>125</v>
      </c>
      <c r="F715" s="5" t="s">
        <v>1390</v>
      </c>
      <c r="G715" s="5"/>
      <c r="H715" s="5" t="s">
        <v>802</v>
      </c>
      <c r="I715" s="5" t="s">
        <v>825</v>
      </c>
      <c r="J715" s="9" t="s">
        <v>9</v>
      </c>
      <c r="K715" s="5"/>
    </row>
    <row r="716" spans="1:11" x14ac:dyDescent="0.25">
      <c r="A716" s="10">
        <v>45600</v>
      </c>
      <c r="B716" s="9" t="s">
        <v>1391</v>
      </c>
      <c r="C716" s="9">
        <v>18</v>
      </c>
      <c r="D716" s="8" t="s">
        <v>163</v>
      </c>
      <c r="E716" s="9" t="s">
        <v>1392</v>
      </c>
      <c r="F716" s="9"/>
      <c r="G716" s="9"/>
      <c r="H716" s="5" t="s">
        <v>802</v>
      </c>
      <c r="I716" s="9" t="s">
        <v>825</v>
      </c>
      <c r="J716" s="5" t="s">
        <v>24</v>
      </c>
      <c r="K716" s="9"/>
    </row>
    <row r="717" spans="1:11" x14ac:dyDescent="0.25">
      <c r="A717" s="4">
        <v>45600</v>
      </c>
      <c r="B717" s="5" t="s">
        <v>1393</v>
      </c>
      <c r="C717" s="5">
        <v>38</v>
      </c>
      <c r="D717" s="9" t="s">
        <v>1551</v>
      </c>
      <c r="E717" s="5" t="s">
        <v>1124</v>
      </c>
      <c r="F717" s="5" t="s">
        <v>112</v>
      </c>
      <c r="G717" s="5"/>
      <c r="H717" s="5" t="s">
        <v>802</v>
      </c>
      <c r="I717" s="5" t="s">
        <v>234</v>
      </c>
      <c r="J717" s="5" t="s">
        <v>24</v>
      </c>
      <c r="K717" s="5"/>
    </row>
    <row r="718" spans="1:11" x14ac:dyDescent="0.25">
      <c r="A718" s="10">
        <v>45601</v>
      </c>
      <c r="B718" s="9" t="s">
        <v>1395</v>
      </c>
      <c r="C718" s="9">
        <v>53</v>
      </c>
      <c r="D718" s="8" t="s">
        <v>163</v>
      </c>
      <c r="E718" s="9" t="s">
        <v>847</v>
      </c>
      <c r="F718" s="9" t="s">
        <v>1396</v>
      </c>
      <c r="G718" s="9"/>
      <c r="H718" s="5" t="s">
        <v>802</v>
      </c>
      <c r="I718" s="5" t="s">
        <v>825</v>
      </c>
      <c r="J718" s="5" t="s">
        <v>24</v>
      </c>
      <c r="K718" s="9"/>
    </row>
    <row r="719" spans="1:11" x14ac:dyDescent="0.25">
      <c r="A719" s="4">
        <v>45601</v>
      </c>
      <c r="B719" s="5" t="s">
        <v>1398</v>
      </c>
      <c r="C719" s="5">
        <v>70</v>
      </c>
      <c r="D719" s="5"/>
      <c r="E719" s="5" t="s">
        <v>901</v>
      </c>
      <c r="F719" s="5" t="s">
        <v>78</v>
      </c>
      <c r="G719" s="5"/>
      <c r="H719" s="5" t="s">
        <v>802</v>
      </c>
      <c r="I719" s="5" t="s">
        <v>825</v>
      </c>
      <c r="J719" s="9" t="s">
        <v>9</v>
      </c>
      <c r="K719" s="5"/>
    </row>
    <row r="720" spans="1:11" x14ac:dyDescent="0.25">
      <c r="A720" s="10">
        <v>45602</v>
      </c>
      <c r="B720" s="9" t="s">
        <v>1397</v>
      </c>
      <c r="C720" s="9">
        <v>63</v>
      </c>
      <c r="D720" s="9"/>
      <c r="E720" s="9" t="s">
        <v>1382</v>
      </c>
      <c r="F720" s="9" t="s">
        <v>924</v>
      </c>
      <c r="G720" s="9"/>
      <c r="H720" s="5" t="s">
        <v>802</v>
      </c>
      <c r="I720" s="9" t="s">
        <v>390</v>
      </c>
      <c r="J720" s="9" t="s">
        <v>9</v>
      </c>
      <c r="K720" s="9"/>
    </row>
    <row r="721" spans="1:11" x14ac:dyDescent="0.25">
      <c r="A721" s="4">
        <v>45602</v>
      </c>
      <c r="B721" s="5" t="s">
        <v>1399</v>
      </c>
      <c r="C721" s="5">
        <v>71</v>
      </c>
      <c r="D721" s="5" t="s">
        <v>214</v>
      </c>
      <c r="E721" s="5" t="s">
        <v>718</v>
      </c>
      <c r="F721" s="5" t="s">
        <v>1400</v>
      </c>
      <c r="G721" s="5"/>
      <c r="H721" s="5" t="s">
        <v>802</v>
      </c>
      <c r="I721" s="5" t="s">
        <v>825</v>
      </c>
      <c r="J721" s="9" t="s">
        <v>9</v>
      </c>
      <c r="K721" s="5"/>
    </row>
    <row r="722" spans="1:11" x14ac:dyDescent="0.25">
      <c r="A722" s="10">
        <v>45602</v>
      </c>
      <c r="B722" s="9" t="s">
        <v>1401</v>
      </c>
      <c r="C722" s="9">
        <v>63</v>
      </c>
      <c r="D722" s="5" t="s">
        <v>100</v>
      </c>
      <c r="E722" s="9" t="s">
        <v>56</v>
      </c>
      <c r="F722" s="9" t="s">
        <v>899</v>
      </c>
      <c r="G722" s="9"/>
      <c r="H722" s="5" t="s">
        <v>802</v>
      </c>
      <c r="I722" s="9" t="s">
        <v>658</v>
      </c>
      <c r="J722" s="9" t="s">
        <v>9</v>
      </c>
      <c r="K722" s="9"/>
    </row>
    <row r="723" spans="1:11" x14ac:dyDescent="0.25">
      <c r="A723" s="4">
        <v>45602</v>
      </c>
      <c r="B723" s="5" t="s">
        <v>1409</v>
      </c>
      <c r="C723" s="5">
        <v>33</v>
      </c>
      <c r="D723" s="5" t="s">
        <v>214</v>
      </c>
      <c r="E723" s="5" t="s">
        <v>1410</v>
      </c>
      <c r="F723" s="5" t="s">
        <v>1411</v>
      </c>
      <c r="G723" s="5"/>
      <c r="H723" s="5" t="s">
        <v>802</v>
      </c>
      <c r="I723" s="5" t="s">
        <v>825</v>
      </c>
      <c r="J723" s="5" t="s">
        <v>24</v>
      </c>
      <c r="K723" s="5"/>
    </row>
    <row r="724" spans="1:11" x14ac:dyDescent="0.25">
      <c r="A724" s="10">
        <v>45603</v>
      </c>
      <c r="B724" s="9" t="s">
        <v>1394</v>
      </c>
      <c r="C724" s="9">
        <v>42</v>
      </c>
      <c r="D724" s="8" t="s">
        <v>120</v>
      </c>
      <c r="E724" s="9" t="s">
        <v>1124</v>
      </c>
      <c r="F724" s="9" t="s">
        <v>112</v>
      </c>
      <c r="G724" s="9"/>
      <c r="H724" s="5" t="s">
        <v>802</v>
      </c>
      <c r="I724" s="9" t="s">
        <v>1277</v>
      </c>
      <c r="J724" s="5" t="s">
        <v>24</v>
      </c>
      <c r="K724" s="9"/>
    </row>
    <row r="725" spans="1:11" x14ac:dyDescent="0.25">
      <c r="A725" s="4">
        <v>45603</v>
      </c>
      <c r="B725" s="5" t="s">
        <v>1405</v>
      </c>
      <c r="C725" s="5">
        <v>72</v>
      </c>
      <c r="D725" s="5" t="s">
        <v>214</v>
      </c>
      <c r="E725" s="5" t="s">
        <v>1406</v>
      </c>
      <c r="F725" s="5" t="s">
        <v>1407</v>
      </c>
      <c r="G725" s="5"/>
      <c r="H725" s="5" t="s">
        <v>802</v>
      </c>
      <c r="I725" s="5" t="s">
        <v>825</v>
      </c>
      <c r="J725" s="9" t="s">
        <v>9</v>
      </c>
      <c r="K725" s="5"/>
    </row>
    <row r="726" spans="1:11" x14ac:dyDescent="0.25">
      <c r="A726" s="10">
        <v>45604</v>
      </c>
      <c r="B726" s="9" t="s">
        <v>1402</v>
      </c>
      <c r="C726" s="9">
        <v>54</v>
      </c>
      <c r="D726" s="5" t="s">
        <v>214</v>
      </c>
      <c r="E726" s="9" t="s">
        <v>1403</v>
      </c>
      <c r="F726" s="9" t="s">
        <v>1404</v>
      </c>
      <c r="G726" s="9"/>
      <c r="H726" s="5" t="s">
        <v>802</v>
      </c>
      <c r="I726" s="5" t="s">
        <v>825</v>
      </c>
      <c r="J726" s="9" t="s">
        <v>9</v>
      </c>
      <c r="K726" s="9"/>
    </row>
    <row r="727" spans="1:11" x14ac:dyDescent="0.25">
      <c r="A727" s="4">
        <v>45604</v>
      </c>
      <c r="B727" s="5" t="s">
        <v>1417</v>
      </c>
      <c r="C727" s="5">
        <v>67</v>
      </c>
      <c r="D727" s="8" t="s">
        <v>8</v>
      </c>
      <c r="E727" s="5" t="s">
        <v>1418</v>
      </c>
      <c r="F727" s="5" t="s">
        <v>924</v>
      </c>
      <c r="G727" s="5"/>
      <c r="H727" s="5" t="s">
        <v>802</v>
      </c>
      <c r="I727" s="5" t="s">
        <v>825</v>
      </c>
      <c r="J727" s="9" t="s">
        <v>9</v>
      </c>
      <c r="K727" s="5"/>
    </row>
    <row r="728" spans="1:11" x14ac:dyDescent="0.25">
      <c r="A728" s="10">
        <v>45607</v>
      </c>
      <c r="B728" s="9" t="s">
        <v>1408</v>
      </c>
      <c r="C728" s="9">
        <v>52</v>
      </c>
      <c r="D728" s="9" t="s">
        <v>1551</v>
      </c>
      <c r="E728" s="9" t="s">
        <v>112</v>
      </c>
      <c r="F728" s="9" t="s">
        <v>1124</v>
      </c>
      <c r="G728" s="9"/>
      <c r="H728" s="5" t="s">
        <v>802</v>
      </c>
      <c r="I728" s="9" t="s">
        <v>601</v>
      </c>
      <c r="J728" s="5" t="s">
        <v>24</v>
      </c>
      <c r="K728" s="9"/>
    </row>
    <row r="729" spans="1:11" x14ac:dyDescent="0.25">
      <c r="A729" s="4">
        <v>45607</v>
      </c>
      <c r="B729" s="5" t="s">
        <v>1419</v>
      </c>
      <c r="C729" s="5">
        <v>82</v>
      </c>
      <c r="D729" s="5" t="s">
        <v>214</v>
      </c>
      <c r="E729" s="5" t="s">
        <v>1333</v>
      </c>
      <c r="F729" s="5" t="s">
        <v>1420</v>
      </c>
      <c r="G729" s="5"/>
      <c r="H729" s="5" t="s">
        <v>802</v>
      </c>
      <c r="I729" s="5" t="s">
        <v>825</v>
      </c>
      <c r="J729" s="9" t="s">
        <v>9</v>
      </c>
      <c r="K729" s="5"/>
    </row>
    <row r="730" spans="1:11" x14ac:dyDescent="0.25">
      <c r="A730" s="10">
        <v>45608</v>
      </c>
      <c r="B730" s="9" t="s">
        <v>1412</v>
      </c>
      <c r="C730" s="9">
        <v>45</v>
      </c>
      <c r="D730" s="5" t="s">
        <v>692</v>
      </c>
      <c r="E730" s="9" t="s">
        <v>1336</v>
      </c>
      <c r="F730" s="9" t="s">
        <v>1413</v>
      </c>
      <c r="G730" s="9"/>
      <c r="H730" s="5" t="s">
        <v>802</v>
      </c>
      <c r="I730" s="9" t="s">
        <v>1277</v>
      </c>
      <c r="J730" s="5" t="s">
        <v>24</v>
      </c>
      <c r="K730" s="9"/>
    </row>
    <row r="731" spans="1:11" x14ac:dyDescent="0.25">
      <c r="A731" s="4">
        <v>45608</v>
      </c>
      <c r="B731" s="5" t="s">
        <v>1414</v>
      </c>
      <c r="C731" s="5">
        <v>35</v>
      </c>
      <c r="D731" s="9" t="s">
        <v>111</v>
      </c>
      <c r="E731" s="5"/>
      <c r="F731" s="5" t="s">
        <v>1415</v>
      </c>
      <c r="G731" s="5"/>
      <c r="H731" s="5" t="s">
        <v>802</v>
      </c>
      <c r="I731" s="5" t="s">
        <v>1416</v>
      </c>
      <c r="J731" s="5" t="s">
        <v>24</v>
      </c>
      <c r="K731" s="5"/>
    </row>
    <row r="732" spans="1:11" x14ac:dyDescent="0.25">
      <c r="A732" s="10">
        <v>45608</v>
      </c>
      <c r="B732" s="9" t="s">
        <v>1421</v>
      </c>
      <c r="C732" s="9">
        <v>67</v>
      </c>
      <c r="D732" s="9" t="s">
        <v>111</v>
      </c>
      <c r="E732" s="9" t="s">
        <v>1422</v>
      </c>
      <c r="F732" s="9" t="s">
        <v>1423</v>
      </c>
      <c r="G732" s="9"/>
      <c r="H732" s="5" t="s">
        <v>802</v>
      </c>
      <c r="I732" s="5" t="s">
        <v>825</v>
      </c>
      <c r="J732" s="9" t="s">
        <v>9</v>
      </c>
      <c r="K732" s="9"/>
    </row>
    <row r="733" spans="1:11" x14ac:dyDescent="0.25">
      <c r="A733" s="4">
        <v>45608</v>
      </c>
      <c r="B733" s="5" t="s">
        <v>1424</v>
      </c>
      <c r="C733" s="5">
        <v>77</v>
      </c>
      <c r="D733" s="8" t="s">
        <v>8</v>
      </c>
      <c r="E733" s="5" t="s">
        <v>1425</v>
      </c>
      <c r="F733" s="5" t="s">
        <v>1426</v>
      </c>
      <c r="G733" s="5"/>
      <c r="H733" s="5" t="s">
        <v>802</v>
      </c>
      <c r="I733" s="5" t="s">
        <v>825</v>
      </c>
      <c r="J733" s="9" t="s">
        <v>9</v>
      </c>
      <c r="K733" s="5"/>
    </row>
    <row r="734" spans="1:11" x14ac:dyDescent="0.25">
      <c r="A734" s="10">
        <v>45609</v>
      </c>
      <c r="B734" s="9" t="s">
        <v>1427</v>
      </c>
      <c r="C734" s="9">
        <v>47</v>
      </c>
      <c r="D734" s="9" t="s">
        <v>153</v>
      </c>
      <c r="E734" s="9" t="s">
        <v>1428</v>
      </c>
      <c r="F734" s="9"/>
      <c r="G734" s="9"/>
      <c r="H734" s="5" t="s">
        <v>802</v>
      </c>
      <c r="I734" s="9" t="s">
        <v>1277</v>
      </c>
      <c r="J734" s="5" t="s">
        <v>24</v>
      </c>
      <c r="K734" s="9"/>
    </row>
    <row r="735" spans="1:11" x14ac:dyDescent="0.25">
      <c r="A735" s="4">
        <v>45610</v>
      </c>
      <c r="B735" s="5" t="s">
        <v>1429</v>
      </c>
      <c r="C735" s="5">
        <v>45</v>
      </c>
      <c r="D735" s="9" t="s">
        <v>1678</v>
      </c>
      <c r="E735" s="5" t="s">
        <v>1430</v>
      </c>
      <c r="F735" s="5" t="s">
        <v>1431</v>
      </c>
      <c r="G735" s="5"/>
      <c r="H735" s="5" t="s">
        <v>802</v>
      </c>
      <c r="I735" s="5" t="s">
        <v>1277</v>
      </c>
      <c r="J735" s="5" t="s">
        <v>24</v>
      </c>
      <c r="K735" s="5"/>
    </row>
    <row r="736" spans="1:11" x14ac:dyDescent="0.25">
      <c r="A736" s="10">
        <v>45610</v>
      </c>
      <c r="B736" s="9" t="s">
        <v>1483</v>
      </c>
      <c r="C736" s="9">
        <v>31</v>
      </c>
      <c r="D736" s="8" t="s">
        <v>120</v>
      </c>
      <c r="E736" s="9"/>
      <c r="F736" s="9" t="s">
        <v>1484</v>
      </c>
      <c r="G736" s="9"/>
      <c r="H736" s="5" t="s">
        <v>802</v>
      </c>
      <c r="I736" s="9" t="s">
        <v>332</v>
      </c>
      <c r="J736" s="5" t="s">
        <v>24</v>
      </c>
      <c r="K736" s="9"/>
    </row>
    <row r="737" spans="1:11" x14ac:dyDescent="0.25">
      <c r="A737" s="4">
        <v>45611</v>
      </c>
      <c r="B737" s="5" t="s">
        <v>1432</v>
      </c>
      <c r="C737" s="5">
        <v>54</v>
      </c>
      <c r="D737" s="5" t="s">
        <v>692</v>
      </c>
      <c r="E737" s="5" t="s">
        <v>1366</v>
      </c>
      <c r="F737" s="5" t="s">
        <v>1433</v>
      </c>
      <c r="G737" s="5"/>
      <c r="H737" s="5" t="s">
        <v>802</v>
      </c>
      <c r="I737" s="5" t="s">
        <v>825</v>
      </c>
      <c r="J737" s="5" t="s">
        <v>24</v>
      </c>
      <c r="K737" s="5"/>
    </row>
    <row r="738" spans="1:11" x14ac:dyDescent="0.25">
      <c r="A738" s="10">
        <v>45611</v>
      </c>
      <c r="B738" s="9" t="s">
        <v>1434</v>
      </c>
      <c r="C738" s="9">
        <v>60</v>
      </c>
      <c r="D738" s="5" t="s">
        <v>214</v>
      </c>
      <c r="E738" s="9" t="s">
        <v>1403</v>
      </c>
      <c r="F738" s="9" t="s">
        <v>1404</v>
      </c>
      <c r="G738" s="9"/>
      <c r="H738" s="5" t="s">
        <v>802</v>
      </c>
      <c r="I738" s="5" t="s">
        <v>825</v>
      </c>
      <c r="J738" s="9" t="s">
        <v>9</v>
      </c>
      <c r="K738" s="9"/>
    </row>
    <row r="739" spans="1:11" x14ac:dyDescent="0.25">
      <c r="A739" s="4">
        <v>45611</v>
      </c>
      <c r="B739" s="5" t="s">
        <v>1435</v>
      </c>
      <c r="C739" s="5">
        <v>63</v>
      </c>
      <c r="D739" s="5" t="s">
        <v>214</v>
      </c>
      <c r="E739" s="5" t="s">
        <v>1436</v>
      </c>
      <c r="F739" s="5" t="s">
        <v>1437</v>
      </c>
      <c r="G739" s="5"/>
      <c r="H739" s="5" t="s">
        <v>802</v>
      </c>
      <c r="I739" s="5" t="s">
        <v>825</v>
      </c>
      <c r="J739" s="9" t="s">
        <v>9</v>
      </c>
      <c r="K739" s="5"/>
    </row>
    <row r="740" spans="1:11" x14ac:dyDescent="0.25">
      <c r="A740" s="10">
        <v>45611</v>
      </c>
      <c r="B740" s="9" t="s">
        <v>1438</v>
      </c>
      <c r="C740" s="9">
        <v>66</v>
      </c>
      <c r="D740" s="5" t="s">
        <v>214</v>
      </c>
      <c r="E740" s="9" t="s">
        <v>1439</v>
      </c>
      <c r="F740" s="9" t="s">
        <v>1440</v>
      </c>
      <c r="G740" s="9"/>
      <c r="H740" s="5" t="s">
        <v>802</v>
      </c>
      <c r="I740" s="9" t="s">
        <v>825</v>
      </c>
      <c r="J740" s="9" t="s">
        <v>9</v>
      </c>
      <c r="K740" s="9"/>
    </row>
    <row r="741" spans="1:11" x14ac:dyDescent="0.25">
      <c r="A741" s="4">
        <v>45616</v>
      </c>
      <c r="B741" s="5" t="s">
        <v>1441</v>
      </c>
      <c r="C741" s="5"/>
      <c r="D741" s="5" t="s">
        <v>214</v>
      </c>
      <c r="E741" s="5" t="s">
        <v>1442</v>
      </c>
      <c r="F741" s="5" t="s">
        <v>1443</v>
      </c>
      <c r="G741" s="5"/>
      <c r="H741" s="5" t="s">
        <v>802</v>
      </c>
      <c r="I741" s="5" t="s">
        <v>825</v>
      </c>
      <c r="J741" s="9" t="s">
        <v>9</v>
      </c>
      <c r="K741" s="5"/>
    </row>
    <row r="742" spans="1:11" x14ac:dyDescent="0.25">
      <c r="A742" s="10">
        <v>45616</v>
      </c>
      <c r="B742" s="9" t="s">
        <v>1444</v>
      </c>
      <c r="C742" s="9">
        <v>50</v>
      </c>
      <c r="D742" s="9" t="s">
        <v>674</v>
      </c>
      <c r="E742" s="9" t="s">
        <v>1445</v>
      </c>
      <c r="F742" s="9" t="s">
        <v>1446</v>
      </c>
      <c r="G742" s="9"/>
      <c r="H742" s="5" t="s">
        <v>802</v>
      </c>
      <c r="I742" s="9"/>
      <c r="J742" s="5" t="s">
        <v>24</v>
      </c>
      <c r="K742" s="9"/>
    </row>
    <row r="743" spans="1:11" x14ac:dyDescent="0.25">
      <c r="A743" s="4">
        <v>45616</v>
      </c>
      <c r="B743" s="5" t="s">
        <v>1447</v>
      </c>
      <c r="C743" s="5">
        <v>22</v>
      </c>
      <c r="D743" s="5" t="s">
        <v>100</v>
      </c>
      <c r="E743" s="5" t="s">
        <v>1448</v>
      </c>
      <c r="F743" s="5" t="s">
        <v>1449</v>
      </c>
      <c r="G743" s="5"/>
      <c r="H743" s="5" t="s">
        <v>802</v>
      </c>
      <c r="I743" s="5" t="s">
        <v>1416</v>
      </c>
      <c r="J743" s="5" t="s">
        <v>24</v>
      </c>
      <c r="K743" s="5"/>
    </row>
    <row r="744" spans="1:11" x14ac:dyDescent="0.25">
      <c r="A744" s="10">
        <v>45616</v>
      </c>
      <c r="B744" s="9" t="s">
        <v>1450</v>
      </c>
      <c r="C744" s="9">
        <v>31</v>
      </c>
      <c r="D744" s="5" t="s">
        <v>100</v>
      </c>
      <c r="E744" s="9" t="s">
        <v>1451</v>
      </c>
      <c r="F744" s="9" t="s">
        <v>1452</v>
      </c>
      <c r="G744" s="9"/>
      <c r="H744" s="5" t="s">
        <v>802</v>
      </c>
      <c r="I744" s="9" t="s">
        <v>1453</v>
      </c>
      <c r="J744" s="5" t="s">
        <v>24</v>
      </c>
      <c r="K744" s="9"/>
    </row>
    <row r="745" spans="1:11" x14ac:dyDescent="0.25">
      <c r="A745" s="4">
        <v>45616</v>
      </c>
      <c r="B745" s="5" t="s">
        <v>950</v>
      </c>
      <c r="C745" s="5">
        <v>35</v>
      </c>
      <c r="D745" s="5" t="s">
        <v>18</v>
      </c>
      <c r="E745" s="5" t="s">
        <v>1454</v>
      </c>
      <c r="F745" s="5" t="s">
        <v>1455</v>
      </c>
      <c r="G745" s="5"/>
      <c r="H745" s="5" t="s">
        <v>802</v>
      </c>
      <c r="I745" s="5"/>
      <c r="J745" s="5" t="s">
        <v>24</v>
      </c>
      <c r="K745" s="5"/>
    </row>
    <row r="746" spans="1:11" x14ac:dyDescent="0.25">
      <c r="A746" s="10">
        <v>45616</v>
      </c>
      <c r="B746" s="9" t="s">
        <v>1456</v>
      </c>
      <c r="C746" s="9">
        <v>82</v>
      </c>
      <c r="D746" s="5" t="s">
        <v>214</v>
      </c>
      <c r="E746" s="9" t="s">
        <v>754</v>
      </c>
      <c r="F746" s="9" t="s">
        <v>717</v>
      </c>
      <c r="G746" s="9"/>
      <c r="H746" s="5" t="s">
        <v>802</v>
      </c>
      <c r="I746" s="9" t="s">
        <v>825</v>
      </c>
      <c r="J746" s="9" t="s">
        <v>9</v>
      </c>
      <c r="K746" s="9"/>
    </row>
    <row r="747" spans="1:11" x14ac:dyDescent="0.25">
      <c r="A747" s="4">
        <v>45616</v>
      </c>
      <c r="B747" s="5" t="s">
        <v>1457</v>
      </c>
      <c r="C747" s="5">
        <v>94</v>
      </c>
      <c r="D747" s="5" t="s">
        <v>214</v>
      </c>
      <c r="E747" s="5" t="s">
        <v>754</v>
      </c>
      <c r="F747" s="5" t="s">
        <v>717</v>
      </c>
      <c r="G747" s="5"/>
      <c r="H747" s="5" t="s">
        <v>802</v>
      </c>
      <c r="I747" s="5" t="s">
        <v>825</v>
      </c>
      <c r="J747" s="9" t="s">
        <v>9</v>
      </c>
      <c r="K747" s="5"/>
    </row>
    <row r="748" spans="1:11" x14ac:dyDescent="0.25">
      <c r="A748" s="10">
        <v>45616</v>
      </c>
      <c r="B748" s="9" t="s">
        <v>1458</v>
      </c>
      <c r="C748" s="9">
        <v>77</v>
      </c>
      <c r="D748" s="5" t="s">
        <v>214</v>
      </c>
      <c r="E748" s="9" t="s">
        <v>796</v>
      </c>
      <c r="F748" s="9" t="s">
        <v>1459</v>
      </c>
      <c r="G748" s="9"/>
      <c r="H748" s="5" t="s">
        <v>802</v>
      </c>
      <c r="I748" s="9" t="s">
        <v>825</v>
      </c>
      <c r="J748" s="9" t="s">
        <v>9</v>
      </c>
      <c r="K748" s="9"/>
    </row>
    <row r="749" spans="1:11" x14ac:dyDescent="0.25">
      <c r="A749" s="4">
        <v>45616</v>
      </c>
      <c r="B749" s="5" t="s">
        <v>1471</v>
      </c>
      <c r="C749" s="5">
        <v>44</v>
      </c>
      <c r="D749" s="8" t="s">
        <v>246</v>
      </c>
      <c r="E749" s="5" t="s">
        <v>1472</v>
      </c>
      <c r="F749" s="5" t="s">
        <v>174</v>
      </c>
      <c r="G749" s="5"/>
      <c r="H749" s="5" t="s">
        <v>802</v>
      </c>
      <c r="I749" s="5" t="s">
        <v>332</v>
      </c>
      <c r="J749" s="5" t="s">
        <v>24</v>
      </c>
      <c r="K749" s="5"/>
    </row>
    <row r="750" spans="1:11" x14ac:dyDescent="0.25">
      <c r="A750" s="10">
        <v>45616</v>
      </c>
      <c r="B750" s="9" t="s">
        <v>1473</v>
      </c>
      <c r="C750" s="9">
        <v>25</v>
      </c>
      <c r="D750" s="9" t="s">
        <v>1678</v>
      </c>
      <c r="E750" s="9" t="s">
        <v>112</v>
      </c>
      <c r="F750" s="9" t="s">
        <v>1124</v>
      </c>
      <c r="G750" s="9"/>
      <c r="H750" s="5" t="s">
        <v>802</v>
      </c>
      <c r="I750" s="8" t="s">
        <v>417</v>
      </c>
      <c r="J750" s="5" t="s">
        <v>24</v>
      </c>
      <c r="K750" s="9"/>
    </row>
    <row r="751" spans="1:11" x14ac:dyDescent="0.25">
      <c r="A751" s="4">
        <v>45617</v>
      </c>
      <c r="B751" s="5" t="s">
        <v>1474</v>
      </c>
      <c r="C751" s="5"/>
      <c r="D751" s="8" t="s">
        <v>8</v>
      </c>
      <c r="E751" s="5" t="s">
        <v>1475</v>
      </c>
      <c r="F751" s="5" t="s">
        <v>1413</v>
      </c>
      <c r="G751" s="5"/>
      <c r="H751" s="5" t="s">
        <v>802</v>
      </c>
      <c r="I751" s="5" t="s">
        <v>1476</v>
      </c>
      <c r="J751" s="5" t="s">
        <v>24</v>
      </c>
      <c r="K751" s="5"/>
    </row>
    <row r="752" spans="1:11" x14ac:dyDescent="0.25">
      <c r="A752" s="10">
        <v>45617</v>
      </c>
      <c r="B752" s="9" t="s">
        <v>1481</v>
      </c>
      <c r="C752" s="9">
        <v>47</v>
      </c>
      <c r="D752" s="8" t="s">
        <v>120</v>
      </c>
      <c r="E752" s="9"/>
      <c r="F752" s="9" t="s">
        <v>1482</v>
      </c>
      <c r="G752" s="9"/>
      <c r="H752" s="5" t="s">
        <v>802</v>
      </c>
      <c r="I752" s="5" t="s">
        <v>825</v>
      </c>
      <c r="J752" s="5" t="s">
        <v>24</v>
      </c>
      <c r="K752" s="9"/>
    </row>
    <row r="753" spans="1:11" x14ac:dyDescent="0.25">
      <c r="A753" s="4">
        <v>45617</v>
      </c>
      <c r="B753" s="5" t="s">
        <v>1511</v>
      </c>
      <c r="C753" s="5">
        <v>89</v>
      </c>
      <c r="D753" s="5" t="s">
        <v>214</v>
      </c>
      <c r="E753" s="5" t="s">
        <v>1512</v>
      </c>
      <c r="F753" s="5" t="s">
        <v>1513</v>
      </c>
      <c r="G753" s="5"/>
      <c r="H753" s="5" t="s">
        <v>802</v>
      </c>
      <c r="I753" s="9" t="s">
        <v>825</v>
      </c>
      <c r="J753" s="9" t="s">
        <v>9</v>
      </c>
      <c r="K753" s="5"/>
    </row>
    <row r="754" spans="1:11" x14ac:dyDescent="0.25">
      <c r="A754" s="10">
        <v>45618</v>
      </c>
      <c r="B754" s="9" t="s">
        <v>1462</v>
      </c>
      <c r="C754" s="9"/>
      <c r="D754" s="5" t="s">
        <v>214</v>
      </c>
      <c r="E754" s="9" t="s">
        <v>1406</v>
      </c>
      <c r="F754" s="9" t="s">
        <v>1407</v>
      </c>
      <c r="G754" s="9"/>
      <c r="H754" s="5" t="s">
        <v>802</v>
      </c>
      <c r="I754" s="9" t="s">
        <v>825</v>
      </c>
      <c r="J754" s="9" t="s">
        <v>9</v>
      </c>
      <c r="K754" s="9"/>
    </row>
    <row r="755" spans="1:11" x14ac:dyDescent="0.25">
      <c r="A755" s="4">
        <v>45621</v>
      </c>
      <c r="B755" s="5" t="s">
        <v>1463</v>
      </c>
      <c r="C755" s="5">
        <v>94</v>
      </c>
      <c r="D755" s="5" t="s">
        <v>214</v>
      </c>
      <c r="E755" s="5" t="s">
        <v>125</v>
      </c>
      <c r="F755" s="5" t="s">
        <v>39</v>
      </c>
      <c r="G755" s="5"/>
      <c r="H755" s="5" t="s">
        <v>802</v>
      </c>
      <c r="I755" s="5" t="s">
        <v>825</v>
      </c>
      <c r="J755" s="9" t="s">
        <v>9</v>
      </c>
      <c r="K755" s="5"/>
    </row>
    <row r="756" spans="1:11" x14ac:dyDescent="0.25">
      <c r="A756" s="10">
        <v>45621</v>
      </c>
      <c r="B756" s="9" t="s">
        <v>1464</v>
      </c>
      <c r="C756" s="9">
        <v>67</v>
      </c>
      <c r="D756" s="5" t="s">
        <v>18</v>
      </c>
      <c r="E756" s="9" t="s">
        <v>431</v>
      </c>
      <c r="F756" s="9" t="s">
        <v>26</v>
      </c>
      <c r="G756" s="9"/>
      <c r="H756" s="5" t="s">
        <v>802</v>
      </c>
      <c r="I756" s="9" t="s">
        <v>825</v>
      </c>
      <c r="J756" s="9" t="s">
        <v>9</v>
      </c>
      <c r="K756" s="9"/>
    </row>
    <row r="757" spans="1:11" x14ac:dyDescent="0.25">
      <c r="A757" s="4">
        <v>45622</v>
      </c>
      <c r="B757" s="5" t="s">
        <v>1460</v>
      </c>
      <c r="C757" s="5">
        <v>76</v>
      </c>
      <c r="D757" s="5" t="s">
        <v>18</v>
      </c>
      <c r="E757" s="5" t="s">
        <v>1461</v>
      </c>
      <c r="F757" s="5" t="s">
        <v>717</v>
      </c>
      <c r="G757" s="5"/>
      <c r="H757" s="5" t="s">
        <v>802</v>
      </c>
      <c r="I757" s="5" t="s">
        <v>825</v>
      </c>
      <c r="J757" s="9" t="s">
        <v>9</v>
      </c>
      <c r="K757" s="5"/>
    </row>
    <row r="758" spans="1:11" x14ac:dyDescent="0.25">
      <c r="A758" s="10">
        <v>45622</v>
      </c>
      <c r="B758" s="9" t="s">
        <v>1468</v>
      </c>
      <c r="C758" s="9">
        <v>24</v>
      </c>
      <c r="D758" s="5" t="s">
        <v>230</v>
      </c>
      <c r="E758" s="9" t="s">
        <v>112</v>
      </c>
      <c r="F758" s="9" t="s">
        <v>1124</v>
      </c>
      <c r="G758" s="9"/>
      <c r="H758" s="5" t="s">
        <v>802</v>
      </c>
      <c r="I758" s="9" t="s">
        <v>303</v>
      </c>
      <c r="J758" s="5" t="s">
        <v>24</v>
      </c>
      <c r="K758" s="9"/>
    </row>
    <row r="759" spans="1:11" x14ac:dyDescent="0.25">
      <c r="A759" s="4">
        <v>45622</v>
      </c>
      <c r="B759" s="5" t="s">
        <v>1469</v>
      </c>
      <c r="C759" s="5">
        <v>28</v>
      </c>
      <c r="D759" s="5" t="s">
        <v>230</v>
      </c>
      <c r="E759" s="5" t="s">
        <v>112</v>
      </c>
      <c r="F759" s="5" t="s">
        <v>1124</v>
      </c>
      <c r="G759" s="5"/>
      <c r="H759" s="5" t="s">
        <v>802</v>
      </c>
      <c r="I759" s="5" t="s">
        <v>825</v>
      </c>
      <c r="J759" s="5" t="s">
        <v>24</v>
      </c>
      <c r="K759" s="5"/>
    </row>
    <row r="760" spans="1:11" x14ac:dyDescent="0.25">
      <c r="A760" s="10">
        <v>45622</v>
      </c>
      <c r="B760" s="9" t="s">
        <v>1477</v>
      </c>
      <c r="C760" s="9">
        <v>44</v>
      </c>
      <c r="D760" s="8" t="s">
        <v>8</v>
      </c>
      <c r="E760" s="9" t="s">
        <v>1425</v>
      </c>
      <c r="F760" s="9" t="s">
        <v>1413</v>
      </c>
      <c r="G760" s="9"/>
      <c r="H760" s="5" t="s">
        <v>802</v>
      </c>
      <c r="I760" s="9" t="s">
        <v>825</v>
      </c>
      <c r="J760" s="5" t="s">
        <v>24</v>
      </c>
      <c r="K760" s="9"/>
    </row>
    <row r="761" spans="1:11" x14ac:dyDescent="0.25">
      <c r="A761" s="4">
        <v>45622</v>
      </c>
      <c r="B761" s="5" t="s">
        <v>1478</v>
      </c>
      <c r="C761" s="5">
        <v>41</v>
      </c>
      <c r="D761" s="5" t="s">
        <v>665</v>
      </c>
      <c r="E761" s="5" t="s">
        <v>857</v>
      </c>
      <c r="F761" s="5" t="s">
        <v>1479</v>
      </c>
      <c r="G761" s="5"/>
      <c r="H761" s="5" t="s">
        <v>802</v>
      </c>
      <c r="I761" s="5" t="s">
        <v>825</v>
      </c>
      <c r="J761" s="5" t="s">
        <v>24</v>
      </c>
      <c r="K761" s="5"/>
    </row>
    <row r="762" spans="1:11" x14ac:dyDescent="0.25">
      <c r="A762" s="10">
        <v>45622</v>
      </c>
      <c r="B762" s="9" t="s">
        <v>1480</v>
      </c>
      <c r="C762" s="9">
        <v>64</v>
      </c>
      <c r="D762" s="8" t="s">
        <v>8</v>
      </c>
      <c r="E762" s="9" t="s">
        <v>1425</v>
      </c>
      <c r="F762" s="9" t="s">
        <v>1413</v>
      </c>
      <c r="G762" s="9"/>
      <c r="H762" s="5" t="s">
        <v>802</v>
      </c>
      <c r="I762" s="9" t="s">
        <v>48</v>
      </c>
      <c r="J762" s="5" t="s">
        <v>24</v>
      </c>
      <c r="K762" s="9"/>
    </row>
    <row r="763" spans="1:11" x14ac:dyDescent="0.25">
      <c r="A763" s="4">
        <v>45623</v>
      </c>
      <c r="B763" s="5" t="s">
        <v>1465</v>
      </c>
      <c r="C763" s="5">
        <v>65</v>
      </c>
      <c r="D763" s="5" t="s">
        <v>214</v>
      </c>
      <c r="E763" s="5" t="s">
        <v>1466</v>
      </c>
      <c r="F763" s="5"/>
      <c r="G763" s="5"/>
      <c r="H763" s="5" t="s">
        <v>802</v>
      </c>
      <c r="I763" s="5" t="s">
        <v>825</v>
      </c>
      <c r="J763" s="9" t="s">
        <v>9</v>
      </c>
      <c r="K763" s="5"/>
    </row>
    <row r="764" spans="1:11" x14ac:dyDescent="0.25">
      <c r="A764" s="10">
        <v>45623</v>
      </c>
      <c r="B764" s="9" t="s">
        <v>1467</v>
      </c>
      <c r="C764" s="9">
        <v>73</v>
      </c>
      <c r="D764" s="8" t="s">
        <v>8</v>
      </c>
      <c r="E764" s="9" t="s">
        <v>56</v>
      </c>
      <c r="F764" s="9" t="s">
        <v>1433</v>
      </c>
      <c r="G764" s="9"/>
      <c r="H764" s="5" t="s">
        <v>802</v>
      </c>
      <c r="I764" s="8" t="s">
        <v>417</v>
      </c>
      <c r="J764" s="5" t="s">
        <v>24</v>
      </c>
      <c r="K764" s="9"/>
    </row>
    <row r="765" spans="1:11" x14ac:dyDescent="0.25">
      <c r="A765" s="4">
        <v>45624</v>
      </c>
      <c r="B765" s="5" t="s">
        <v>1485</v>
      </c>
      <c r="C765" s="5">
        <v>71</v>
      </c>
      <c r="D765" s="5" t="s">
        <v>214</v>
      </c>
      <c r="E765" s="5" t="s">
        <v>91</v>
      </c>
      <c r="F765" s="5" t="s">
        <v>1407</v>
      </c>
      <c r="G765" s="5"/>
      <c r="H765" s="5" t="s">
        <v>802</v>
      </c>
      <c r="I765" s="5" t="s">
        <v>825</v>
      </c>
      <c r="J765" s="9" t="s">
        <v>9</v>
      </c>
      <c r="K765" s="5"/>
    </row>
    <row r="766" spans="1:11" x14ac:dyDescent="0.25">
      <c r="A766" s="10">
        <v>45625</v>
      </c>
      <c r="B766" s="9" t="s">
        <v>1470</v>
      </c>
      <c r="C766" s="9">
        <v>27</v>
      </c>
      <c r="D766" s="5" t="s">
        <v>230</v>
      </c>
      <c r="E766" s="9" t="s">
        <v>112</v>
      </c>
      <c r="F766" s="9" t="s">
        <v>1124</v>
      </c>
      <c r="G766" s="9"/>
      <c r="H766" s="5" t="s">
        <v>802</v>
      </c>
      <c r="I766" s="9" t="s">
        <v>216</v>
      </c>
      <c r="J766" s="5" t="s">
        <v>24</v>
      </c>
      <c r="K766" s="9"/>
    </row>
    <row r="767" spans="1:11" x14ac:dyDescent="0.25">
      <c r="A767" s="4">
        <v>45625</v>
      </c>
      <c r="B767" s="5" t="s">
        <v>1486</v>
      </c>
      <c r="C767" s="5">
        <v>76</v>
      </c>
      <c r="D767" s="5" t="s">
        <v>214</v>
      </c>
      <c r="E767" s="5" t="s">
        <v>125</v>
      </c>
      <c r="F767" s="5" t="s">
        <v>1487</v>
      </c>
      <c r="G767" s="5"/>
      <c r="H767" s="5" t="s">
        <v>802</v>
      </c>
      <c r="I767" s="5" t="s">
        <v>825</v>
      </c>
      <c r="J767" s="5" t="s">
        <v>24</v>
      </c>
      <c r="K767" s="5"/>
    </row>
    <row r="768" spans="1:11" x14ac:dyDescent="0.25">
      <c r="A768" s="10">
        <v>45628</v>
      </c>
      <c r="B768" s="9" t="s">
        <v>1488</v>
      </c>
      <c r="C768" s="9">
        <v>24</v>
      </c>
      <c r="D768" s="9" t="s">
        <v>1551</v>
      </c>
      <c r="E768" s="9" t="s">
        <v>112</v>
      </c>
      <c r="F768" s="9" t="s">
        <v>1489</v>
      </c>
      <c r="G768" s="9"/>
      <c r="H768" s="5" t="s">
        <v>802</v>
      </c>
      <c r="I768" s="9" t="s">
        <v>1490</v>
      </c>
      <c r="J768" s="5" t="s">
        <v>24</v>
      </c>
      <c r="K768" s="9"/>
    </row>
    <row r="769" spans="1:11" x14ac:dyDescent="0.25">
      <c r="A769" s="4">
        <v>45628</v>
      </c>
      <c r="B769" s="5" t="s">
        <v>1491</v>
      </c>
      <c r="C769" s="5">
        <v>19</v>
      </c>
      <c r="D769" s="9" t="s">
        <v>1551</v>
      </c>
      <c r="E769" s="5" t="s">
        <v>112</v>
      </c>
      <c r="F769" s="5" t="s">
        <v>1489</v>
      </c>
      <c r="G769" s="5"/>
      <c r="H769" s="5" t="s">
        <v>802</v>
      </c>
      <c r="I769" s="5" t="s">
        <v>825</v>
      </c>
      <c r="J769" s="5" t="s">
        <v>24</v>
      </c>
      <c r="K769" s="5"/>
    </row>
    <row r="770" spans="1:11" x14ac:dyDescent="0.25">
      <c r="A770" s="10">
        <v>45628</v>
      </c>
      <c r="B770" s="9" t="s">
        <v>1497</v>
      </c>
      <c r="C770" s="9">
        <v>77</v>
      </c>
      <c r="D770" s="5" t="s">
        <v>214</v>
      </c>
      <c r="E770" s="9" t="s">
        <v>1498</v>
      </c>
      <c r="F770" s="9"/>
      <c r="G770" s="9"/>
      <c r="H770" s="5" t="s">
        <v>802</v>
      </c>
      <c r="I770" s="9" t="s">
        <v>825</v>
      </c>
      <c r="J770" s="9" t="s">
        <v>9</v>
      </c>
      <c r="K770" s="9"/>
    </row>
    <row r="771" spans="1:11" x14ac:dyDescent="0.25">
      <c r="A771" s="4">
        <v>45629</v>
      </c>
      <c r="B771" s="5" t="s">
        <v>1499</v>
      </c>
      <c r="C771" s="5">
        <v>67</v>
      </c>
      <c r="D771" s="5" t="s">
        <v>230</v>
      </c>
      <c r="E771" s="5" t="s">
        <v>1500</v>
      </c>
      <c r="F771" s="5" t="s">
        <v>1501</v>
      </c>
      <c r="G771" s="5"/>
      <c r="H771" s="5" t="s">
        <v>802</v>
      </c>
      <c r="I771" s="5" t="s">
        <v>825</v>
      </c>
      <c r="J771" s="9" t="s">
        <v>9</v>
      </c>
      <c r="K771" s="5"/>
    </row>
    <row r="772" spans="1:11" x14ac:dyDescent="0.25">
      <c r="A772" s="10">
        <v>45630</v>
      </c>
      <c r="B772" s="9" t="s">
        <v>1492</v>
      </c>
      <c r="C772" s="9">
        <v>65</v>
      </c>
      <c r="D772" s="8" t="s">
        <v>8</v>
      </c>
      <c r="E772" s="9" t="s">
        <v>1493</v>
      </c>
      <c r="F772" s="9" t="s">
        <v>1494</v>
      </c>
      <c r="G772" s="9"/>
      <c r="H772" s="5" t="s">
        <v>802</v>
      </c>
      <c r="I772" s="9" t="s">
        <v>632</v>
      </c>
      <c r="J772" s="5" t="s">
        <v>24</v>
      </c>
      <c r="K772" s="9"/>
    </row>
    <row r="773" spans="1:11" x14ac:dyDescent="0.25">
      <c r="A773" s="4">
        <v>45630</v>
      </c>
      <c r="B773" s="5" t="s">
        <v>1495</v>
      </c>
      <c r="C773" s="5">
        <v>26</v>
      </c>
      <c r="D773" s="5" t="s">
        <v>230</v>
      </c>
      <c r="E773" s="5" t="s">
        <v>112</v>
      </c>
      <c r="F773" s="5" t="s">
        <v>1489</v>
      </c>
      <c r="G773" s="5"/>
      <c r="H773" s="5" t="s">
        <v>802</v>
      </c>
      <c r="I773" s="5" t="s">
        <v>1496</v>
      </c>
      <c r="J773" s="5" t="s">
        <v>24</v>
      </c>
      <c r="K773" s="5"/>
    </row>
    <row r="774" spans="1:11" x14ac:dyDescent="0.25">
      <c r="A774" s="10">
        <v>45631</v>
      </c>
      <c r="B774" s="9" t="s">
        <v>1516</v>
      </c>
      <c r="C774" s="9">
        <v>75</v>
      </c>
      <c r="D774" s="9" t="s">
        <v>1678</v>
      </c>
      <c r="E774" s="9" t="s">
        <v>1515</v>
      </c>
      <c r="F774" s="9"/>
      <c r="G774" s="9"/>
      <c r="H774" s="5" t="s">
        <v>802</v>
      </c>
      <c r="I774" s="9" t="s">
        <v>825</v>
      </c>
      <c r="J774" s="9" t="s">
        <v>9</v>
      </c>
      <c r="K774" s="9"/>
    </row>
    <row r="775" spans="1:11" x14ac:dyDescent="0.25">
      <c r="A775" s="4">
        <v>45632</v>
      </c>
      <c r="B775" s="5" t="s">
        <v>1514</v>
      </c>
      <c r="C775" s="5">
        <v>70</v>
      </c>
      <c r="D775" s="8" t="s">
        <v>8</v>
      </c>
      <c r="E775" s="5" t="s">
        <v>1515</v>
      </c>
      <c r="F775" s="5"/>
      <c r="G775" s="5"/>
      <c r="H775" s="5" t="s">
        <v>802</v>
      </c>
      <c r="I775" s="5" t="s">
        <v>825</v>
      </c>
      <c r="J775" s="9" t="s">
        <v>9</v>
      </c>
      <c r="K775" s="5"/>
    </row>
    <row r="776" spans="1:11" x14ac:dyDescent="0.25">
      <c r="A776" s="10">
        <v>45635</v>
      </c>
      <c r="B776" s="9" t="s">
        <v>1502</v>
      </c>
      <c r="C776" s="9">
        <v>53</v>
      </c>
      <c r="D776" s="8" t="s">
        <v>163</v>
      </c>
      <c r="E776" s="9" t="s">
        <v>1503</v>
      </c>
      <c r="F776" s="9" t="s">
        <v>1504</v>
      </c>
      <c r="G776" s="9"/>
      <c r="H776" s="5" t="s">
        <v>802</v>
      </c>
      <c r="I776" s="9" t="s">
        <v>543</v>
      </c>
      <c r="J776" s="5" t="s">
        <v>24</v>
      </c>
      <c r="K776" s="9"/>
    </row>
    <row r="777" spans="1:11" x14ac:dyDescent="0.25">
      <c r="A777" s="4">
        <v>45635</v>
      </c>
      <c r="B777" s="5" t="s">
        <v>1505</v>
      </c>
      <c r="C777" s="5">
        <v>34</v>
      </c>
      <c r="D777" s="8" t="s">
        <v>163</v>
      </c>
      <c r="E777" s="5" t="s">
        <v>1506</v>
      </c>
      <c r="F777" s="5" t="s">
        <v>1507</v>
      </c>
      <c r="G777" s="5"/>
      <c r="H777" s="5" t="s">
        <v>802</v>
      </c>
      <c r="I777" s="5" t="s">
        <v>1508</v>
      </c>
      <c r="J777" s="5" t="s">
        <v>24</v>
      </c>
      <c r="K777" s="5"/>
    </row>
    <row r="778" spans="1:11" x14ac:dyDescent="0.25">
      <c r="A778" s="10">
        <v>45635</v>
      </c>
      <c r="B778" s="9" t="s">
        <v>1509</v>
      </c>
      <c r="C778" s="9">
        <v>75</v>
      </c>
      <c r="D778" s="8" t="s">
        <v>163</v>
      </c>
      <c r="E778" s="9" t="s">
        <v>1503</v>
      </c>
      <c r="F778" s="9" t="s">
        <v>1510</v>
      </c>
      <c r="G778" s="9"/>
      <c r="H778" s="5" t="s">
        <v>802</v>
      </c>
      <c r="I778" s="9" t="s">
        <v>825</v>
      </c>
      <c r="J778" s="9" t="s">
        <v>9</v>
      </c>
      <c r="K778" s="9"/>
    </row>
    <row r="779" spans="1:11" x14ac:dyDescent="0.25">
      <c r="A779" s="4">
        <v>45637</v>
      </c>
      <c r="B779" s="5" t="s">
        <v>1517</v>
      </c>
      <c r="C779" s="5"/>
      <c r="D779" s="5" t="s">
        <v>214</v>
      </c>
      <c r="E779" s="5" t="s">
        <v>1518</v>
      </c>
      <c r="F779" s="5"/>
      <c r="G779" s="5"/>
      <c r="H779" s="5" t="s">
        <v>802</v>
      </c>
      <c r="I779" s="9" t="s">
        <v>825</v>
      </c>
      <c r="J779" s="9" t="s">
        <v>9</v>
      </c>
      <c r="K779" s="5"/>
    </row>
    <row r="780" spans="1:11" x14ac:dyDescent="0.25">
      <c r="A780" s="10">
        <v>45637</v>
      </c>
      <c r="B780" s="9" t="s">
        <v>598</v>
      </c>
      <c r="C780" s="9"/>
      <c r="D780" s="5" t="s">
        <v>18</v>
      </c>
      <c r="E780" s="9" t="s">
        <v>718</v>
      </c>
      <c r="F780" s="9"/>
      <c r="G780" s="9"/>
      <c r="H780" s="5" t="s">
        <v>802</v>
      </c>
      <c r="I780" s="9" t="s">
        <v>825</v>
      </c>
      <c r="J780" s="9" t="s">
        <v>9</v>
      </c>
      <c r="K780" s="9"/>
    </row>
    <row r="781" spans="1:11" x14ac:dyDescent="0.25">
      <c r="A781" s="4">
        <v>45638</v>
      </c>
      <c r="B781" s="5" t="s">
        <v>1519</v>
      </c>
      <c r="C781" s="5">
        <v>64</v>
      </c>
      <c r="D781" s="9" t="s">
        <v>17</v>
      </c>
      <c r="E781" s="5" t="s">
        <v>56</v>
      </c>
      <c r="F781" s="5" t="s">
        <v>1383</v>
      </c>
      <c r="G781" s="5"/>
      <c r="H781" s="5" t="s">
        <v>802</v>
      </c>
      <c r="I781" s="5" t="s">
        <v>825</v>
      </c>
      <c r="J781" s="9" t="s">
        <v>9</v>
      </c>
      <c r="K781" s="5"/>
    </row>
    <row r="782" spans="1:11" x14ac:dyDescent="0.25">
      <c r="A782" s="10">
        <v>45638</v>
      </c>
      <c r="B782" s="9" t="s">
        <v>1104</v>
      </c>
      <c r="C782" s="9">
        <v>69</v>
      </c>
      <c r="D782" s="5" t="s">
        <v>18</v>
      </c>
      <c r="E782" s="9" t="s">
        <v>1071</v>
      </c>
      <c r="F782" s="9" t="s">
        <v>1520</v>
      </c>
      <c r="G782" s="9"/>
      <c r="H782" s="5" t="s">
        <v>802</v>
      </c>
      <c r="I782" s="9" t="s">
        <v>825</v>
      </c>
      <c r="J782" s="9" t="s">
        <v>9</v>
      </c>
      <c r="K782" s="9"/>
    </row>
    <row r="783" spans="1:11" x14ac:dyDescent="0.25">
      <c r="A783" s="4">
        <v>45638</v>
      </c>
      <c r="B783" s="5" t="s">
        <v>1521</v>
      </c>
      <c r="C783" s="5">
        <v>57</v>
      </c>
      <c r="D783" s="9" t="s">
        <v>17</v>
      </c>
      <c r="E783" s="5" t="s">
        <v>43</v>
      </c>
      <c r="F783" s="5" t="s">
        <v>1522</v>
      </c>
      <c r="G783" s="5"/>
      <c r="H783" s="5" t="s">
        <v>802</v>
      </c>
      <c r="I783" s="5" t="s">
        <v>825</v>
      </c>
      <c r="J783" s="9" t="s">
        <v>9</v>
      </c>
      <c r="K783" s="5"/>
    </row>
    <row r="784" spans="1:11" x14ac:dyDescent="0.25">
      <c r="A784" s="10">
        <v>45638</v>
      </c>
      <c r="B784" s="9" t="s">
        <v>1523</v>
      </c>
      <c r="C784" s="9">
        <v>72</v>
      </c>
      <c r="D784" s="8" t="s">
        <v>120</v>
      </c>
      <c r="E784" s="9" t="s">
        <v>56</v>
      </c>
      <c r="F784" s="9" t="s">
        <v>1524</v>
      </c>
      <c r="G784" s="9"/>
      <c r="H784" s="5" t="s">
        <v>802</v>
      </c>
      <c r="I784" s="9" t="s">
        <v>825</v>
      </c>
      <c r="J784" s="9" t="s">
        <v>9</v>
      </c>
      <c r="K784" s="9"/>
    </row>
    <row r="785" spans="1:11" x14ac:dyDescent="0.25">
      <c r="A785" s="4">
        <v>45639</v>
      </c>
      <c r="B785" s="5" t="s">
        <v>1530</v>
      </c>
      <c r="C785" s="5">
        <v>77</v>
      </c>
      <c r="D785" s="5"/>
      <c r="E785" s="5" t="s">
        <v>838</v>
      </c>
      <c r="F785" s="5" t="s">
        <v>1531</v>
      </c>
      <c r="G785" s="5"/>
      <c r="H785" s="5" t="s">
        <v>802</v>
      </c>
      <c r="I785" s="5" t="s">
        <v>825</v>
      </c>
      <c r="J785" s="9" t="s">
        <v>9</v>
      </c>
      <c r="K785" s="5"/>
    </row>
    <row r="786" spans="1:11" x14ac:dyDescent="0.25">
      <c r="A786" s="10">
        <v>45642</v>
      </c>
      <c r="B786" s="9" t="s">
        <v>1525</v>
      </c>
      <c r="C786" s="9">
        <v>26</v>
      </c>
      <c r="D786" s="5" t="s">
        <v>665</v>
      </c>
      <c r="E786" s="9" t="s">
        <v>1526</v>
      </c>
      <c r="F786" s="9"/>
      <c r="G786" s="9"/>
      <c r="H786" s="5" t="s">
        <v>802</v>
      </c>
      <c r="I786" s="9" t="s">
        <v>1527</v>
      </c>
      <c r="J786" s="5" t="s">
        <v>24</v>
      </c>
      <c r="K786" s="9"/>
    </row>
    <row r="787" spans="1:11" x14ac:dyDescent="0.25">
      <c r="A787" s="4">
        <v>45642</v>
      </c>
      <c r="B787" s="5" t="s">
        <v>1528</v>
      </c>
      <c r="C787" s="5">
        <v>63</v>
      </c>
      <c r="D787" s="5" t="s">
        <v>18</v>
      </c>
      <c r="E787" s="5" t="s">
        <v>1529</v>
      </c>
      <c r="F787" s="5"/>
      <c r="G787" s="5"/>
      <c r="H787" s="5" t="s">
        <v>802</v>
      </c>
      <c r="I787" s="5" t="s">
        <v>825</v>
      </c>
      <c r="J787" s="9" t="s">
        <v>9</v>
      </c>
      <c r="K787" s="5"/>
    </row>
    <row r="788" spans="1:11" x14ac:dyDescent="0.25">
      <c r="A788" s="10">
        <v>45644</v>
      </c>
      <c r="B788" s="9" t="s">
        <v>1538</v>
      </c>
      <c r="C788" s="9">
        <v>86</v>
      </c>
      <c r="D788" s="5" t="s">
        <v>214</v>
      </c>
      <c r="E788" s="9" t="s">
        <v>1406</v>
      </c>
      <c r="F788" s="9"/>
      <c r="G788" s="9"/>
      <c r="H788" s="5" t="s">
        <v>802</v>
      </c>
      <c r="I788" s="5" t="s">
        <v>825</v>
      </c>
      <c r="J788" s="9" t="s">
        <v>9</v>
      </c>
      <c r="K788" s="9"/>
    </row>
    <row r="789" spans="1:11" x14ac:dyDescent="0.25">
      <c r="A789" s="4">
        <v>45645</v>
      </c>
      <c r="B789" s="5" t="s">
        <v>1532</v>
      </c>
      <c r="C789" s="5">
        <v>57</v>
      </c>
      <c r="D789" s="8" t="s">
        <v>120</v>
      </c>
      <c r="E789" s="5" t="s">
        <v>1524</v>
      </c>
      <c r="F789" s="5" t="s">
        <v>1533</v>
      </c>
      <c r="G789" s="5"/>
      <c r="H789" s="5" t="s">
        <v>802</v>
      </c>
      <c r="I789" s="5" t="s">
        <v>825</v>
      </c>
      <c r="J789" s="5" t="s">
        <v>24</v>
      </c>
      <c r="K789" s="5"/>
    </row>
    <row r="790" spans="1:11" x14ac:dyDescent="0.25">
      <c r="A790" s="10">
        <v>45645</v>
      </c>
      <c r="B790" s="9" t="s">
        <v>1539</v>
      </c>
      <c r="C790" s="9">
        <v>77</v>
      </c>
      <c r="D790" s="5" t="s">
        <v>214</v>
      </c>
      <c r="E790" s="9" t="s">
        <v>1540</v>
      </c>
      <c r="F790" s="9" t="s">
        <v>1541</v>
      </c>
      <c r="G790" s="9"/>
      <c r="H790" s="5" t="s">
        <v>802</v>
      </c>
      <c r="I790" s="9"/>
      <c r="J790" s="9" t="s">
        <v>9</v>
      </c>
      <c r="K790" s="9"/>
    </row>
    <row r="791" spans="1:11" x14ac:dyDescent="0.25">
      <c r="A791" s="4">
        <v>45646</v>
      </c>
      <c r="B791" s="5" t="s">
        <v>1534</v>
      </c>
      <c r="C791" s="5">
        <v>65</v>
      </c>
      <c r="D791" s="5" t="s">
        <v>214</v>
      </c>
      <c r="E791" s="5" t="s">
        <v>838</v>
      </c>
      <c r="F791" s="5" t="s">
        <v>1535</v>
      </c>
      <c r="G791" s="5"/>
      <c r="H791" s="5" t="s">
        <v>802</v>
      </c>
      <c r="I791" s="5" t="s">
        <v>825</v>
      </c>
      <c r="J791" s="9" t="s">
        <v>9</v>
      </c>
      <c r="K791" s="5"/>
    </row>
    <row r="792" spans="1:11" x14ac:dyDescent="0.25">
      <c r="A792" s="10">
        <v>45646</v>
      </c>
      <c r="B792" s="9" t="s">
        <v>1536</v>
      </c>
      <c r="C792" s="9">
        <v>81</v>
      </c>
      <c r="D792" s="5" t="s">
        <v>214</v>
      </c>
      <c r="E792" s="9" t="s">
        <v>1537</v>
      </c>
      <c r="F792" s="9" t="s">
        <v>1535</v>
      </c>
      <c r="G792" s="9"/>
      <c r="H792" s="5" t="s">
        <v>802</v>
      </c>
      <c r="I792" s="9" t="s">
        <v>1277</v>
      </c>
      <c r="J792" s="9" t="s">
        <v>9</v>
      </c>
      <c r="K792" s="9"/>
    </row>
    <row r="793" spans="1:11" x14ac:dyDescent="0.25">
      <c r="A793" s="4">
        <v>45652</v>
      </c>
      <c r="B793" s="5" t="s">
        <v>1481</v>
      </c>
      <c r="C793" s="5">
        <v>47</v>
      </c>
      <c r="D793" s="8" t="s">
        <v>120</v>
      </c>
      <c r="E793" s="5" t="s">
        <v>1542</v>
      </c>
      <c r="F793" s="5" t="s">
        <v>1543</v>
      </c>
      <c r="G793" s="5"/>
      <c r="H793" s="5" t="s">
        <v>802</v>
      </c>
      <c r="I793" s="5" t="s">
        <v>825</v>
      </c>
      <c r="J793" s="5" t="s">
        <v>24</v>
      </c>
      <c r="K793" s="5"/>
    </row>
    <row r="794" spans="1:11" x14ac:dyDescent="0.25">
      <c r="A794" s="10">
        <v>45653</v>
      </c>
      <c r="B794" s="9" t="s">
        <v>1544</v>
      </c>
      <c r="C794" s="9">
        <v>71</v>
      </c>
      <c r="D794" s="5" t="s">
        <v>214</v>
      </c>
      <c r="E794" s="9" t="s">
        <v>91</v>
      </c>
      <c r="F794" s="9" t="s">
        <v>1545</v>
      </c>
      <c r="G794" s="9"/>
      <c r="H794" s="5" t="s">
        <v>802</v>
      </c>
      <c r="I794" s="5" t="s">
        <v>825</v>
      </c>
      <c r="J794" s="9" t="s">
        <v>9</v>
      </c>
      <c r="K794" s="9"/>
    </row>
    <row r="795" spans="1:11" x14ac:dyDescent="0.25">
      <c r="A795" s="4">
        <v>45659</v>
      </c>
      <c r="B795" s="5" t="s">
        <v>1556</v>
      </c>
      <c r="C795" s="5">
        <v>82</v>
      </c>
      <c r="D795" s="5"/>
      <c r="E795" s="5" t="s">
        <v>838</v>
      </c>
      <c r="F795" s="5" t="s">
        <v>725</v>
      </c>
      <c r="G795" s="5" t="s">
        <v>33</v>
      </c>
      <c r="H795" s="5" t="s">
        <v>802</v>
      </c>
      <c r="I795" s="5" t="s">
        <v>825</v>
      </c>
      <c r="J795" s="9" t="s">
        <v>9</v>
      </c>
      <c r="K795" s="5"/>
    </row>
    <row r="796" spans="1:11" x14ac:dyDescent="0.25">
      <c r="A796" s="10">
        <v>45659</v>
      </c>
      <c r="B796" s="9" t="s">
        <v>1557</v>
      </c>
      <c r="C796" s="9">
        <v>72</v>
      </c>
      <c r="D796" s="5" t="s">
        <v>18</v>
      </c>
      <c r="E796" s="9" t="s">
        <v>1442</v>
      </c>
      <c r="F796" s="9" t="s">
        <v>892</v>
      </c>
      <c r="G796" s="9" t="s">
        <v>33</v>
      </c>
      <c r="H796" s="5" t="s">
        <v>802</v>
      </c>
      <c r="I796" s="5" t="s">
        <v>825</v>
      </c>
      <c r="J796" s="9" t="s">
        <v>9</v>
      </c>
      <c r="K796" s="9"/>
    </row>
    <row r="797" spans="1:11" x14ac:dyDescent="0.25">
      <c r="A797" s="4">
        <v>45659</v>
      </c>
      <c r="B797" s="5" t="s">
        <v>1558</v>
      </c>
      <c r="C797" s="5">
        <v>66</v>
      </c>
      <c r="D797" s="5" t="s">
        <v>18</v>
      </c>
      <c r="E797" s="5" t="s">
        <v>1442</v>
      </c>
      <c r="F797" s="5" t="s">
        <v>892</v>
      </c>
      <c r="G797" s="5" t="s">
        <v>33</v>
      </c>
      <c r="H797" s="5" t="s">
        <v>802</v>
      </c>
      <c r="I797" s="5" t="s">
        <v>825</v>
      </c>
      <c r="J797" s="9" t="s">
        <v>9</v>
      </c>
      <c r="K797" s="5"/>
    </row>
    <row r="798" spans="1:11" x14ac:dyDescent="0.25">
      <c r="A798" s="10">
        <v>45663</v>
      </c>
      <c r="B798" s="9" t="s">
        <v>1546</v>
      </c>
      <c r="C798" s="9">
        <v>66</v>
      </c>
      <c r="D798" s="5" t="s">
        <v>18</v>
      </c>
      <c r="E798" s="9" t="s">
        <v>1547</v>
      </c>
      <c r="F798" s="9" t="s">
        <v>1548</v>
      </c>
      <c r="G798" s="9" t="s">
        <v>33</v>
      </c>
      <c r="H798" s="5" t="s">
        <v>802</v>
      </c>
      <c r="I798" s="5" t="s">
        <v>825</v>
      </c>
      <c r="J798" s="9" t="s">
        <v>9</v>
      </c>
      <c r="K798" s="9"/>
    </row>
    <row r="799" spans="1:11" x14ac:dyDescent="0.25">
      <c r="A799" s="4">
        <v>45663</v>
      </c>
      <c r="B799" s="5" t="s">
        <v>1549</v>
      </c>
      <c r="C799" s="5">
        <v>84</v>
      </c>
      <c r="D799" s="5" t="s">
        <v>18</v>
      </c>
      <c r="E799" s="5" t="s">
        <v>125</v>
      </c>
      <c r="F799" s="5" t="s">
        <v>39</v>
      </c>
      <c r="G799" s="5" t="s">
        <v>33</v>
      </c>
      <c r="H799" s="5" t="s">
        <v>802</v>
      </c>
      <c r="I799" s="5" t="s">
        <v>825</v>
      </c>
      <c r="J799" s="9" t="s">
        <v>9</v>
      </c>
      <c r="K799" s="5"/>
    </row>
    <row r="800" spans="1:11" x14ac:dyDescent="0.25">
      <c r="A800" s="10">
        <v>45663</v>
      </c>
      <c r="B800" s="9" t="s">
        <v>1550</v>
      </c>
      <c r="C800" s="9">
        <v>18</v>
      </c>
      <c r="D800" s="9" t="s">
        <v>1551</v>
      </c>
      <c r="E800" s="9" t="s">
        <v>1183</v>
      </c>
      <c r="F800" s="9" t="s">
        <v>1552</v>
      </c>
      <c r="G800" s="9"/>
      <c r="H800" s="5" t="s">
        <v>802</v>
      </c>
      <c r="I800" s="5" t="s">
        <v>825</v>
      </c>
      <c r="J800" s="5" t="s">
        <v>24</v>
      </c>
      <c r="K800" s="9"/>
    </row>
    <row r="801" spans="1:11" x14ac:dyDescent="0.25">
      <c r="A801" s="4">
        <v>45663</v>
      </c>
      <c r="B801" s="5" t="s">
        <v>1553</v>
      </c>
      <c r="C801" s="5">
        <v>75</v>
      </c>
      <c r="D801" s="5" t="s">
        <v>18</v>
      </c>
      <c r="E801" s="5" t="s">
        <v>1400</v>
      </c>
      <c r="F801" s="5" t="s">
        <v>1554</v>
      </c>
      <c r="G801" s="5" t="s">
        <v>33</v>
      </c>
      <c r="H801" s="5" t="s">
        <v>802</v>
      </c>
      <c r="I801" s="5" t="s">
        <v>543</v>
      </c>
      <c r="J801" s="9" t="s">
        <v>9</v>
      </c>
      <c r="K801" s="5"/>
    </row>
    <row r="802" spans="1:11" x14ac:dyDescent="0.25">
      <c r="A802" s="10">
        <v>45663</v>
      </c>
      <c r="B802" s="9" t="s">
        <v>1555</v>
      </c>
      <c r="C802" s="9">
        <v>89</v>
      </c>
      <c r="D802" s="5" t="s">
        <v>18</v>
      </c>
      <c r="E802" s="9" t="s">
        <v>838</v>
      </c>
      <c r="F802" s="9" t="s">
        <v>39</v>
      </c>
      <c r="G802" s="9" t="s">
        <v>33</v>
      </c>
      <c r="H802" s="5" t="s">
        <v>802</v>
      </c>
      <c r="I802" s="5" t="s">
        <v>825</v>
      </c>
      <c r="J802" s="9" t="s">
        <v>9</v>
      </c>
      <c r="K802" s="9"/>
    </row>
    <row r="803" spans="1:11" x14ac:dyDescent="0.25">
      <c r="A803" s="4">
        <v>45665</v>
      </c>
      <c r="B803" s="5" t="s">
        <v>1561</v>
      </c>
      <c r="C803" s="5">
        <v>73</v>
      </c>
      <c r="D803" s="5" t="s">
        <v>18</v>
      </c>
      <c r="E803" s="5" t="s">
        <v>1442</v>
      </c>
      <c r="F803" s="5" t="s">
        <v>892</v>
      </c>
      <c r="G803" s="5" t="s">
        <v>33</v>
      </c>
      <c r="H803" s="5" t="s">
        <v>802</v>
      </c>
      <c r="I803" s="5" t="s">
        <v>825</v>
      </c>
      <c r="J803" s="9" t="s">
        <v>9</v>
      </c>
      <c r="K803" s="5"/>
    </row>
    <row r="804" spans="1:11" x14ac:dyDescent="0.25">
      <c r="A804" s="10">
        <v>45666</v>
      </c>
      <c r="B804" s="9" t="s">
        <v>1338</v>
      </c>
      <c r="C804" s="9">
        <v>68</v>
      </c>
      <c r="D804" s="9" t="s">
        <v>17</v>
      </c>
      <c r="E804" s="9" t="s">
        <v>1084</v>
      </c>
      <c r="F804" s="9" t="s">
        <v>930</v>
      </c>
      <c r="G804" s="9" t="s">
        <v>33</v>
      </c>
      <c r="H804" s="5" t="s">
        <v>802</v>
      </c>
      <c r="I804" s="5" t="s">
        <v>825</v>
      </c>
      <c r="J804" s="9" t="s">
        <v>9</v>
      </c>
      <c r="K804" s="9"/>
    </row>
    <row r="805" spans="1:11" x14ac:dyDescent="0.25">
      <c r="A805" s="4">
        <v>45666</v>
      </c>
      <c r="B805" s="5" t="s">
        <v>1566</v>
      </c>
      <c r="C805" s="5">
        <v>67</v>
      </c>
      <c r="D805" s="8" t="s">
        <v>8</v>
      </c>
      <c r="E805" s="5" t="s">
        <v>1567</v>
      </c>
      <c r="F805" s="5" t="s">
        <v>1568</v>
      </c>
      <c r="G805" s="5" t="s">
        <v>33</v>
      </c>
      <c r="H805" s="5" t="s">
        <v>802</v>
      </c>
      <c r="I805" s="5" t="s">
        <v>825</v>
      </c>
      <c r="J805" s="9" t="s">
        <v>9</v>
      </c>
      <c r="K805" s="5"/>
    </row>
    <row r="806" spans="1:11" x14ac:dyDescent="0.25">
      <c r="A806" s="10">
        <v>45667</v>
      </c>
      <c r="B806" s="9" t="s">
        <v>1559</v>
      </c>
      <c r="C806" s="9">
        <v>82</v>
      </c>
      <c r="D806" s="9"/>
      <c r="E806" s="9" t="s">
        <v>838</v>
      </c>
      <c r="F806" s="9" t="s">
        <v>1560</v>
      </c>
      <c r="G806" s="9" t="s">
        <v>33</v>
      </c>
      <c r="H806" s="5" t="s">
        <v>802</v>
      </c>
      <c r="I806" s="5" t="s">
        <v>825</v>
      </c>
      <c r="J806" s="9" t="s">
        <v>9</v>
      </c>
      <c r="K806" s="9"/>
    </row>
    <row r="807" spans="1:11" x14ac:dyDescent="0.25">
      <c r="A807" s="4">
        <v>45667</v>
      </c>
      <c r="B807" s="5" t="s">
        <v>1582</v>
      </c>
      <c r="C807" s="5"/>
      <c r="D807" s="8" t="s">
        <v>120</v>
      </c>
      <c r="E807" s="5" t="s">
        <v>112</v>
      </c>
      <c r="F807" s="5" t="s">
        <v>1552</v>
      </c>
      <c r="G807" s="5"/>
      <c r="H807" s="5" t="s">
        <v>802</v>
      </c>
      <c r="I807" s="5" t="s">
        <v>825</v>
      </c>
      <c r="J807" s="5" t="s">
        <v>24</v>
      </c>
      <c r="K807" s="5"/>
    </row>
    <row r="808" spans="1:11" x14ac:dyDescent="0.25">
      <c r="A808" s="10">
        <v>45670</v>
      </c>
      <c r="B808" s="9" t="s">
        <v>1563</v>
      </c>
      <c r="C808" s="9">
        <v>69</v>
      </c>
      <c r="D808" s="5" t="s">
        <v>18</v>
      </c>
      <c r="E808" s="9" t="s">
        <v>838</v>
      </c>
      <c r="F808" s="9" t="s">
        <v>1564</v>
      </c>
      <c r="G808" s="9" t="s">
        <v>33</v>
      </c>
      <c r="H808" s="5" t="s">
        <v>802</v>
      </c>
      <c r="I808" s="5" t="s">
        <v>825</v>
      </c>
      <c r="J808" s="9" t="s">
        <v>9</v>
      </c>
      <c r="K808" s="9"/>
    </row>
    <row r="809" spans="1:11" x14ac:dyDescent="0.25">
      <c r="A809" s="4">
        <v>45671</v>
      </c>
      <c r="B809" s="5" t="s">
        <v>1562</v>
      </c>
      <c r="C809" s="5">
        <v>83</v>
      </c>
      <c r="D809" s="5"/>
      <c r="E809" s="5" t="s">
        <v>838</v>
      </c>
      <c r="F809" s="5" t="s">
        <v>39</v>
      </c>
      <c r="G809" s="5" t="s">
        <v>33</v>
      </c>
      <c r="H809" s="5" t="s">
        <v>802</v>
      </c>
      <c r="I809" s="5" t="s">
        <v>825</v>
      </c>
      <c r="J809" s="9" t="s">
        <v>9</v>
      </c>
      <c r="K809" s="5"/>
    </row>
    <row r="810" spans="1:11" x14ac:dyDescent="0.25">
      <c r="A810" s="10">
        <v>45673</v>
      </c>
      <c r="B810" s="9" t="s">
        <v>1565</v>
      </c>
      <c r="C810" s="9"/>
      <c r="D810" s="5" t="s">
        <v>18</v>
      </c>
      <c r="E810" s="9" t="s">
        <v>1442</v>
      </c>
      <c r="F810" s="9" t="s">
        <v>892</v>
      </c>
      <c r="G810" s="9" t="s">
        <v>33</v>
      </c>
      <c r="H810" s="5" t="s">
        <v>802</v>
      </c>
      <c r="I810" s="5" t="s">
        <v>825</v>
      </c>
      <c r="J810" s="9" t="s">
        <v>9</v>
      </c>
      <c r="K810" s="9"/>
    </row>
    <row r="811" spans="1:11" x14ac:dyDescent="0.25">
      <c r="A811" s="4">
        <v>45673</v>
      </c>
      <c r="B811" s="5" t="s">
        <v>1580</v>
      </c>
      <c r="C811" s="5">
        <v>58</v>
      </c>
      <c r="D811" s="9" t="s">
        <v>1678</v>
      </c>
      <c r="E811" s="5" t="s">
        <v>1581</v>
      </c>
      <c r="F811" s="5" t="s">
        <v>933</v>
      </c>
      <c r="G811" s="5"/>
      <c r="H811" s="5" t="s">
        <v>802</v>
      </c>
      <c r="I811" s="9" t="s">
        <v>303</v>
      </c>
      <c r="J811" s="5" t="s">
        <v>24</v>
      </c>
      <c r="K811" s="5"/>
    </row>
    <row r="812" spans="1:11" x14ac:dyDescent="0.25">
      <c r="A812" s="10">
        <v>45674</v>
      </c>
      <c r="B812" s="9" t="s">
        <v>1569</v>
      </c>
      <c r="C812" s="9">
        <v>89</v>
      </c>
      <c r="D812" s="5" t="s">
        <v>18</v>
      </c>
      <c r="E812" s="9" t="s">
        <v>838</v>
      </c>
      <c r="F812" s="9" t="s">
        <v>39</v>
      </c>
      <c r="G812" s="9" t="s">
        <v>33</v>
      </c>
      <c r="H812" s="5" t="s">
        <v>802</v>
      </c>
      <c r="I812" s="5" t="s">
        <v>825</v>
      </c>
      <c r="J812" s="9" t="s">
        <v>9</v>
      </c>
      <c r="K812" s="9"/>
    </row>
    <row r="813" spans="1:11" x14ac:dyDescent="0.25">
      <c r="A813" s="4">
        <v>45674</v>
      </c>
      <c r="B813" s="5" t="s">
        <v>1578</v>
      </c>
      <c r="C813" s="5">
        <v>51</v>
      </c>
      <c r="D813" s="5" t="s">
        <v>18</v>
      </c>
      <c r="E813" s="5" t="s">
        <v>1571</v>
      </c>
      <c r="F813" s="5" t="s">
        <v>1579</v>
      </c>
      <c r="G813" s="5"/>
      <c r="H813" s="5" t="s">
        <v>802</v>
      </c>
      <c r="I813" s="5"/>
      <c r="J813" s="5" t="s">
        <v>24</v>
      </c>
      <c r="K813" s="5"/>
    </row>
    <row r="814" spans="1:11" x14ac:dyDescent="0.25">
      <c r="A814" s="10">
        <v>45675</v>
      </c>
      <c r="B814" s="9" t="s">
        <v>1570</v>
      </c>
      <c r="C814" s="9">
        <v>75</v>
      </c>
      <c r="D814" s="9"/>
      <c r="E814" s="9" t="s">
        <v>1571</v>
      </c>
      <c r="F814" s="9" t="s">
        <v>1572</v>
      </c>
      <c r="G814" s="9" t="s">
        <v>33</v>
      </c>
      <c r="H814" s="5" t="s">
        <v>802</v>
      </c>
      <c r="I814" s="5" t="s">
        <v>825</v>
      </c>
      <c r="J814" s="9" t="s">
        <v>9</v>
      </c>
      <c r="K814" s="9"/>
    </row>
    <row r="815" spans="1:11" x14ac:dyDescent="0.25">
      <c r="A815" s="4">
        <v>45677</v>
      </c>
      <c r="B815" s="5" t="s">
        <v>1573</v>
      </c>
      <c r="C815" s="5">
        <v>79</v>
      </c>
      <c r="D815" s="8" t="s">
        <v>120</v>
      </c>
      <c r="E815" s="5" t="s">
        <v>1574</v>
      </c>
      <c r="F815" s="5" t="s">
        <v>1575</v>
      </c>
      <c r="G815" s="5" t="s">
        <v>33</v>
      </c>
      <c r="H815" s="5" t="s">
        <v>802</v>
      </c>
      <c r="I815" s="5" t="s">
        <v>825</v>
      </c>
      <c r="J815" s="9" t="s">
        <v>9</v>
      </c>
      <c r="K815" s="5"/>
    </row>
    <row r="816" spans="1:11" x14ac:dyDescent="0.25">
      <c r="A816" s="10">
        <v>45677</v>
      </c>
      <c r="B816" s="9" t="s">
        <v>1576</v>
      </c>
      <c r="C816" s="9">
        <v>74</v>
      </c>
      <c r="D816" s="5" t="s">
        <v>18</v>
      </c>
      <c r="E816" s="9" t="s">
        <v>838</v>
      </c>
      <c r="F816" s="9" t="s">
        <v>39</v>
      </c>
      <c r="G816" s="9" t="s">
        <v>33</v>
      </c>
      <c r="H816" s="5" t="s">
        <v>802</v>
      </c>
      <c r="I816" s="5" t="s">
        <v>825</v>
      </c>
      <c r="J816" s="9" t="s">
        <v>9</v>
      </c>
      <c r="K816" s="9"/>
    </row>
    <row r="817" spans="1:11" x14ac:dyDescent="0.25">
      <c r="A817" s="4">
        <v>45677</v>
      </c>
      <c r="B817" s="5" t="s">
        <v>1577</v>
      </c>
      <c r="C817" s="5">
        <v>83</v>
      </c>
      <c r="D817" s="5" t="s">
        <v>18</v>
      </c>
      <c r="E817" s="5" t="s">
        <v>838</v>
      </c>
      <c r="F817" s="5" t="s">
        <v>1564</v>
      </c>
      <c r="G817" s="5" t="s">
        <v>33</v>
      </c>
      <c r="H817" s="5" t="s">
        <v>802</v>
      </c>
      <c r="I817" s="5" t="s">
        <v>825</v>
      </c>
      <c r="J817" s="9" t="s">
        <v>9</v>
      </c>
      <c r="K817" s="5"/>
    </row>
    <row r="818" spans="1:11" x14ac:dyDescent="0.25">
      <c r="A818" s="10">
        <v>45686</v>
      </c>
      <c r="B818" s="9" t="s">
        <v>1637</v>
      </c>
      <c r="C818" s="9">
        <v>71</v>
      </c>
      <c r="D818" s="5" t="s">
        <v>230</v>
      </c>
      <c r="E818" s="9" t="s">
        <v>1383</v>
      </c>
      <c r="F818" s="9"/>
      <c r="G818" s="9" t="s">
        <v>33</v>
      </c>
      <c r="H818" s="5" t="s">
        <v>802</v>
      </c>
      <c r="I818" s="5" t="s">
        <v>825</v>
      </c>
      <c r="J818" s="9" t="s">
        <v>9</v>
      </c>
      <c r="K818" s="9"/>
    </row>
    <row r="819" spans="1:11" x14ac:dyDescent="0.25">
      <c r="A819" s="4">
        <v>45695</v>
      </c>
      <c r="B819" s="5" t="s">
        <v>1585</v>
      </c>
      <c r="C819" s="5">
        <v>57</v>
      </c>
      <c r="D819" s="5" t="s">
        <v>214</v>
      </c>
      <c r="E819" s="5" t="s">
        <v>1586</v>
      </c>
      <c r="F819" s="5" t="s">
        <v>1587</v>
      </c>
      <c r="G819" s="5"/>
      <c r="H819" s="5" t="s">
        <v>802</v>
      </c>
      <c r="I819" s="5" t="s">
        <v>1277</v>
      </c>
      <c r="J819" s="5" t="s">
        <v>24</v>
      </c>
      <c r="K819" s="5"/>
    </row>
    <row r="820" spans="1:11" x14ac:dyDescent="0.25">
      <c r="A820" s="10">
        <v>45698</v>
      </c>
      <c r="B820" s="9" t="s">
        <v>1602</v>
      </c>
      <c r="C820" s="9">
        <v>33</v>
      </c>
      <c r="D820" s="8" t="s">
        <v>8</v>
      </c>
      <c r="E820" s="9" t="s">
        <v>1366</v>
      </c>
      <c r="F820" s="9" t="s">
        <v>1603</v>
      </c>
      <c r="G820" s="9"/>
      <c r="H820" s="5" t="s">
        <v>802</v>
      </c>
      <c r="I820" s="9" t="s">
        <v>1277</v>
      </c>
      <c r="J820" s="5" t="s">
        <v>24</v>
      </c>
      <c r="K820" s="9"/>
    </row>
    <row r="821" spans="1:11" x14ac:dyDescent="0.25">
      <c r="A821" s="4">
        <v>45698</v>
      </c>
      <c r="B821" s="5" t="s">
        <v>1616</v>
      </c>
      <c r="C821" s="5">
        <v>76</v>
      </c>
      <c r="D821" s="5" t="s">
        <v>214</v>
      </c>
      <c r="E821" s="5" t="s">
        <v>1500</v>
      </c>
      <c r="F821" s="5" t="s">
        <v>1615</v>
      </c>
      <c r="G821" s="5"/>
      <c r="H821" s="5" t="s">
        <v>802</v>
      </c>
      <c r="I821" s="5" t="s">
        <v>825</v>
      </c>
      <c r="J821" s="9" t="s">
        <v>9</v>
      </c>
      <c r="K821" s="5"/>
    </row>
    <row r="822" spans="1:11" x14ac:dyDescent="0.25">
      <c r="A822" s="10">
        <v>45698</v>
      </c>
      <c r="B822" s="9" t="s">
        <v>1618</v>
      </c>
      <c r="C822" s="9">
        <v>71</v>
      </c>
      <c r="D822" s="8" t="s">
        <v>163</v>
      </c>
      <c r="E822" s="9" t="s">
        <v>1619</v>
      </c>
      <c r="F822" s="9" t="s">
        <v>1620</v>
      </c>
      <c r="G822" s="9"/>
      <c r="H822" s="5" t="s">
        <v>802</v>
      </c>
      <c r="I822" s="5" t="s">
        <v>825</v>
      </c>
      <c r="J822" s="9" t="s">
        <v>9</v>
      </c>
      <c r="K822" s="9"/>
    </row>
    <row r="823" spans="1:11" x14ac:dyDescent="0.25">
      <c r="A823" s="4">
        <v>45699</v>
      </c>
      <c r="B823" s="5" t="s">
        <v>1604</v>
      </c>
      <c r="C823" s="5">
        <v>41</v>
      </c>
      <c r="D823" s="8" t="s">
        <v>163</v>
      </c>
      <c r="E823" s="5" t="s">
        <v>1605</v>
      </c>
      <c r="F823" s="5" t="s">
        <v>1606</v>
      </c>
      <c r="G823" s="5"/>
      <c r="H823" s="5" t="s">
        <v>802</v>
      </c>
      <c r="I823" s="5" t="s">
        <v>1277</v>
      </c>
      <c r="J823" s="5" t="s">
        <v>24</v>
      </c>
      <c r="K823" s="5"/>
    </row>
    <row r="824" spans="1:11" x14ac:dyDescent="0.25">
      <c r="A824" s="10">
        <v>45699</v>
      </c>
      <c r="B824" s="9" t="s">
        <v>1613</v>
      </c>
      <c r="C824" s="9">
        <v>74</v>
      </c>
      <c r="D824" s="9" t="s">
        <v>111</v>
      </c>
      <c r="E824" s="9" t="s">
        <v>1614</v>
      </c>
      <c r="F824" s="9" t="s">
        <v>1615</v>
      </c>
      <c r="G824" s="9"/>
      <c r="H824" s="5" t="s">
        <v>802</v>
      </c>
      <c r="I824" s="5" t="s">
        <v>825</v>
      </c>
      <c r="J824" s="9" t="s">
        <v>9</v>
      </c>
      <c r="K824" s="9"/>
    </row>
    <row r="825" spans="1:11" x14ac:dyDescent="0.25">
      <c r="A825" s="4">
        <v>45699</v>
      </c>
      <c r="B825" s="5" t="s">
        <v>1617</v>
      </c>
      <c r="C825" s="5">
        <v>72</v>
      </c>
      <c r="D825" s="9" t="s">
        <v>111</v>
      </c>
      <c r="E825" s="5" t="s">
        <v>56</v>
      </c>
      <c r="F825" s="5" t="s">
        <v>459</v>
      </c>
      <c r="G825" s="5"/>
      <c r="H825" s="5" t="s">
        <v>802</v>
      </c>
      <c r="I825" s="5" t="s">
        <v>825</v>
      </c>
      <c r="J825" s="9" t="s">
        <v>9</v>
      </c>
      <c r="K825" s="5"/>
    </row>
    <row r="826" spans="1:11" x14ac:dyDescent="0.25">
      <c r="A826" s="10">
        <v>45699</v>
      </c>
      <c r="B826" s="9" t="s">
        <v>1621</v>
      </c>
      <c r="C826" s="9">
        <v>80</v>
      </c>
      <c r="D826" s="8" t="s">
        <v>163</v>
      </c>
      <c r="E826" s="9" t="s">
        <v>857</v>
      </c>
      <c r="F826" s="9" t="s">
        <v>1622</v>
      </c>
      <c r="G826" s="9"/>
      <c r="H826" s="5" t="s">
        <v>802</v>
      </c>
      <c r="I826" s="9" t="s">
        <v>825</v>
      </c>
      <c r="J826" s="9" t="s">
        <v>9</v>
      </c>
      <c r="K826" s="9"/>
    </row>
    <row r="827" spans="1:11" x14ac:dyDescent="0.25">
      <c r="A827" s="4">
        <v>45700</v>
      </c>
      <c r="B827" s="5" t="s">
        <v>1623</v>
      </c>
      <c r="C827" s="5">
        <v>76</v>
      </c>
      <c r="D827" s="9" t="s">
        <v>17</v>
      </c>
      <c r="E827" s="5" t="s">
        <v>1624</v>
      </c>
      <c r="F827" s="5" t="s">
        <v>56</v>
      </c>
      <c r="G827" s="5"/>
      <c r="H827" s="5" t="s">
        <v>802</v>
      </c>
      <c r="I827" s="5" t="s">
        <v>825</v>
      </c>
      <c r="J827" s="9" t="s">
        <v>9</v>
      </c>
      <c r="K827" s="5"/>
    </row>
    <row r="828" spans="1:11" x14ac:dyDescent="0.25">
      <c r="A828" s="10">
        <v>45701</v>
      </c>
      <c r="B828" s="9" t="s">
        <v>1588</v>
      </c>
      <c r="C828" s="9">
        <v>41</v>
      </c>
      <c r="D828" s="8" t="s">
        <v>8</v>
      </c>
      <c r="E828" s="9" t="s">
        <v>1589</v>
      </c>
      <c r="F828" s="9" t="s">
        <v>1590</v>
      </c>
      <c r="G828" s="9"/>
      <c r="H828" s="5" t="s">
        <v>802</v>
      </c>
      <c r="I828" s="9" t="s">
        <v>1591</v>
      </c>
      <c r="J828" s="5" t="s">
        <v>24</v>
      </c>
      <c r="K828" s="9"/>
    </row>
    <row r="829" spans="1:11" x14ac:dyDescent="0.25">
      <c r="A829" s="4">
        <v>45701</v>
      </c>
      <c r="B829" s="5" t="s">
        <v>1592</v>
      </c>
      <c r="C829" s="5">
        <v>16</v>
      </c>
      <c r="D829" s="8" t="s">
        <v>8</v>
      </c>
      <c r="E829" s="5" t="s">
        <v>1593</v>
      </c>
      <c r="F829" s="5" t="s">
        <v>1594</v>
      </c>
      <c r="G829" s="5"/>
      <c r="H829" s="5" t="s">
        <v>802</v>
      </c>
      <c r="I829" s="5" t="s">
        <v>1595</v>
      </c>
      <c r="J829" s="5" t="s">
        <v>24</v>
      </c>
      <c r="K829" s="5"/>
    </row>
    <row r="830" spans="1:11" x14ac:dyDescent="0.25">
      <c r="A830" s="10">
        <v>45701</v>
      </c>
      <c r="B830" s="9" t="s">
        <v>1596</v>
      </c>
      <c r="C830" s="9">
        <v>21</v>
      </c>
      <c r="D830" s="9" t="s">
        <v>17</v>
      </c>
      <c r="E830" s="9" t="s">
        <v>112</v>
      </c>
      <c r="F830" s="9" t="s">
        <v>1597</v>
      </c>
      <c r="G830" s="9"/>
      <c r="H830" s="5" t="s">
        <v>802</v>
      </c>
      <c r="I830" s="9" t="s">
        <v>48</v>
      </c>
      <c r="J830" s="5" t="s">
        <v>24</v>
      </c>
      <c r="K830" s="9"/>
    </row>
    <row r="831" spans="1:11" x14ac:dyDescent="0.25">
      <c r="A831" s="4">
        <v>45701</v>
      </c>
      <c r="B831" s="5" t="s">
        <v>1598</v>
      </c>
      <c r="C831" s="5">
        <v>46</v>
      </c>
      <c r="D831" s="9" t="s">
        <v>17</v>
      </c>
      <c r="E831" s="5" t="s">
        <v>1599</v>
      </c>
      <c r="F831" s="5" t="s">
        <v>1600</v>
      </c>
      <c r="G831" s="5"/>
      <c r="H831" s="5" t="s">
        <v>802</v>
      </c>
      <c r="I831" s="5" t="s">
        <v>1601</v>
      </c>
      <c r="J831" s="5" t="s">
        <v>24</v>
      </c>
      <c r="K831" s="5"/>
    </row>
    <row r="832" spans="1:11" x14ac:dyDescent="0.25">
      <c r="A832" s="10">
        <v>45701</v>
      </c>
      <c r="B832" s="9" t="s">
        <v>1609</v>
      </c>
      <c r="C832" s="9">
        <v>72</v>
      </c>
      <c r="D832" s="8" t="s">
        <v>8</v>
      </c>
      <c r="E832" s="9" t="s">
        <v>1163</v>
      </c>
      <c r="F832" s="9" t="s">
        <v>1380</v>
      </c>
      <c r="G832" s="9"/>
      <c r="H832" s="5" t="s">
        <v>802</v>
      </c>
      <c r="I832" s="5" t="s">
        <v>825</v>
      </c>
      <c r="J832" s="9" t="s">
        <v>9</v>
      </c>
      <c r="K832" s="9"/>
    </row>
    <row r="833" spans="1:11" x14ac:dyDescent="0.25">
      <c r="A833" s="4">
        <v>45701</v>
      </c>
      <c r="B833" s="5" t="s">
        <v>1610</v>
      </c>
      <c r="C833" s="5">
        <v>86</v>
      </c>
      <c r="D833" s="5" t="s">
        <v>214</v>
      </c>
      <c r="E833" s="5" t="s">
        <v>1611</v>
      </c>
      <c r="F833" s="5" t="s">
        <v>1612</v>
      </c>
      <c r="G833" s="5"/>
      <c r="H833" s="5" t="s">
        <v>802</v>
      </c>
      <c r="I833" s="5" t="s">
        <v>825</v>
      </c>
      <c r="J833" s="9" t="s">
        <v>9</v>
      </c>
      <c r="K833" s="5"/>
    </row>
    <row r="834" spans="1:11" x14ac:dyDescent="0.25">
      <c r="A834" s="10">
        <v>45701</v>
      </c>
      <c r="B834" s="9" t="s">
        <v>894</v>
      </c>
      <c r="C834" s="9"/>
      <c r="D834" s="8" t="s">
        <v>8</v>
      </c>
      <c r="E834" s="9"/>
      <c r="F834" s="9" t="s">
        <v>1625</v>
      </c>
      <c r="G834" s="9"/>
      <c r="H834" s="5" t="s">
        <v>802</v>
      </c>
      <c r="I834" s="5" t="s">
        <v>825</v>
      </c>
      <c r="J834" s="9" t="s">
        <v>9</v>
      </c>
      <c r="K834" s="9"/>
    </row>
    <row r="835" spans="1:11" x14ac:dyDescent="0.25">
      <c r="A835" s="4">
        <v>45702</v>
      </c>
      <c r="B835" s="5" t="s">
        <v>1626</v>
      </c>
      <c r="C835" s="5">
        <v>84</v>
      </c>
      <c r="D835" s="5" t="s">
        <v>214</v>
      </c>
      <c r="E835" s="5" t="s">
        <v>1627</v>
      </c>
      <c r="F835" s="5" t="s">
        <v>1628</v>
      </c>
      <c r="G835" s="5"/>
      <c r="H835" s="5" t="s">
        <v>802</v>
      </c>
      <c r="I835" s="5" t="s">
        <v>825</v>
      </c>
      <c r="J835" s="9" t="s">
        <v>9</v>
      </c>
      <c r="K835" s="5"/>
    </row>
    <row r="836" spans="1:11" x14ac:dyDescent="0.25">
      <c r="A836" s="10">
        <v>45703</v>
      </c>
      <c r="B836" s="9" t="s">
        <v>1629</v>
      </c>
      <c r="C836" s="9">
        <v>73</v>
      </c>
      <c r="D836" s="9"/>
      <c r="E836" s="9"/>
      <c r="F836" s="9" t="s">
        <v>1630</v>
      </c>
      <c r="G836" s="9"/>
      <c r="H836" s="5" t="s">
        <v>802</v>
      </c>
      <c r="I836" s="5" t="s">
        <v>825</v>
      </c>
      <c r="J836" s="9" t="s">
        <v>9</v>
      </c>
      <c r="K836" s="9"/>
    </row>
    <row r="837" spans="1:11" x14ac:dyDescent="0.25">
      <c r="A837" s="4">
        <v>45704</v>
      </c>
      <c r="B837" s="5" t="s">
        <v>1631</v>
      </c>
      <c r="C837" s="5">
        <v>69</v>
      </c>
      <c r="D837" s="8" t="s">
        <v>246</v>
      </c>
      <c r="E837" s="5" t="s">
        <v>1632</v>
      </c>
      <c r="F837" s="5" t="s">
        <v>1633</v>
      </c>
      <c r="G837" s="5"/>
      <c r="H837" s="5" t="s">
        <v>802</v>
      </c>
      <c r="I837" s="5" t="s">
        <v>825</v>
      </c>
      <c r="J837" s="9" t="s">
        <v>9</v>
      </c>
      <c r="K837" s="5"/>
    </row>
    <row r="838" spans="1:11" x14ac:dyDescent="0.25">
      <c r="A838" s="10">
        <v>45705</v>
      </c>
      <c r="B838" s="9" t="s">
        <v>1634</v>
      </c>
      <c r="C838" s="9">
        <v>94</v>
      </c>
      <c r="D838" s="5" t="s">
        <v>214</v>
      </c>
      <c r="E838" s="9" t="s">
        <v>838</v>
      </c>
      <c r="F838" s="9" t="s">
        <v>1130</v>
      </c>
      <c r="G838" s="9"/>
      <c r="H838" s="5" t="s">
        <v>802</v>
      </c>
      <c r="I838" s="5" t="s">
        <v>825</v>
      </c>
      <c r="J838" s="9" t="s">
        <v>9</v>
      </c>
      <c r="K838" s="9"/>
    </row>
    <row r="839" spans="1:11" x14ac:dyDescent="0.25">
      <c r="A839" s="4">
        <v>45706</v>
      </c>
      <c r="B839" s="5" t="s">
        <v>1583</v>
      </c>
      <c r="C839" s="5">
        <v>57</v>
      </c>
      <c r="D839" s="8" t="s">
        <v>120</v>
      </c>
      <c r="E839" s="5" t="s">
        <v>1366</v>
      </c>
      <c r="F839" s="5" t="s">
        <v>1584</v>
      </c>
      <c r="G839" s="5"/>
      <c r="H839" s="5" t="s">
        <v>802</v>
      </c>
      <c r="I839" s="5" t="s">
        <v>1277</v>
      </c>
      <c r="J839" s="5" t="s">
        <v>24</v>
      </c>
      <c r="K839" s="5"/>
    </row>
    <row r="840" spans="1:11" x14ac:dyDescent="0.25">
      <c r="A840" s="10">
        <v>45706</v>
      </c>
      <c r="B840" s="9" t="s">
        <v>1635</v>
      </c>
      <c r="C840" s="9">
        <v>73</v>
      </c>
      <c r="D840" s="8" t="s">
        <v>120</v>
      </c>
      <c r="E840" s="9" t="s">
        <v>56</v>
      </c>
      <c r="F840" s="9" t="s">
        <v>1383</v>
      </c>
      <c r="G840" s="9"/>
      <c r="H840" s="5" t="s">
        <v>802</v>
      </c>
      <c r="I840" s="5" t="s">
        <v>825</v>
      </c>
      <c r="J840" s="9" t="s">
        <v>9</v>
      </c>
      <c r="K840" s="9"/>
    </row>
    <row r="841" spans="1:11" x14ac:dyDescent="0.25">
      <c r="A841" s="4">
        <v>45707</v>
      </c>
      <c r="B841" s="5" t="s">
        <v>1607</v>
      </c>
      <c r="C841" s="5">
        <v>17</v>
      </c>
      <c r="D841" s="9" t="s">
        <v>17</v>
      </c>
      <c r="E841" s="5" t="s">
        <v>112</v>
      </c>
      <c r="F841" s="5" t="s">
        <v>1608</v>
      </c>
      <c r="G841" s="5"/>
      <c r="H841" s="5" t="s">
        <v>802</v>
      </c>
      <c r="I841" s="5" t="s">
        <v>234</v>
      </c>
      <c r="J841" s="5" t="s">
        <v>24</v>
      </c>
      <c r="K841" s="5"/>
    </row>
    <row r="842" spans="1:11" x14ac:dyDescent="0.25">
      <c r="A842" s="10">
        <v>45707</v>
      </c>
      <c r="B842" s="9" t="s">
        <v>76</v>
      </c>
      <c r="C842" s="9">
        <v>70</v>
      </c>
      <c r="D842" s="9" t="s">
        <v>17</v>
      </c>
      <c r="E842" s="9" t="s">
        <v>1345</v>
      </c>
      <c r="F842" s="9" t="s">
        <v>1636</v>
      </c>
      <c r="G842" s="9"/>
      <c r="H842" s="5" t="s">
        <v>802</v>
      </c>
      <c r="I842" s="5" t="s">
        <v>825</v>
      </c>
      <c r="J842" s="9" t="s">
        <v>9</v>
      </c>
      <c r="K842" s="9"/>
    </row>
    <row r="843" spans="1:11" x14ac:dyDescent="0.25">
      <c r="A843" s="4">
        <v>45708</v>
      </c>
      <c r="B843" s="5" t="s">
        <v>1638</v>
      </c>
      <c r="C843" s="5">
        <v>77</v>
      </c>
      <c r="D843" s="8" t="s">
        <v>120</v>
      </c>
      <c r="E843" s="5" t="s">
        <v>56</v>
      </c>
      <c r="F843" s="5" t="s">
        <v>459</v>
      </c>
      <c r="G843" s="5" t="s">
        <v>33</v>
      </c>
      <c r="H843" s="5" t="s">
        <v>802</v>
      </c>
      <c r="I843" s="5" t="s">
        <v>825</v>
      </c>
      <c r="J843" s="9" t="s">
        <v>9</v>
      </c>
      <c r="K843" s="5"/>
    </row>
    <row r="844" spans="1:11" x14ac:dyDescent="0.25">
      <c r="A844" s="15">
        <v>45708</v>
      </c>
      <c r="B844" s="9" t="s">
        <v>757</v>
      </c>
      <c r="C844" s="9">
        <v>74</v>
      </c>
      <c r="D844" s="9"/>
      <c r="E844" s="9" t="s">
        <v>717</v>
      </c>
      <c r="F844" s="9" t="s">
        <v>39</v>
      </c>
      <c r="G844" s="9" t="s">
        <v>730</v>
      </c>
      <c r="H844" s="5" t="s">
        <v>802</v>
      </c>
      <c r="I844" s="5" t="s">
        <v>825</v>
      </c>
      <c r="J844" s="9" t="s">
        <v>9</v>
      </c>
      <c r="K844" s="9"/>
    </row>
    <row r="845" spans="1:11" x14ac:dyDescent="0.25">
      <c r="A845" s="10">
        <v>45709</v>
      </c>
      <c r="B845" s="9" t="s">
        <v>1639</v>
      </c>
      <c r="C845" s="9">
        <v>68</v>
      </c>
      <c r="D845" s="9" t="s">
        <v>153</v>
      </c>
      <c r="E845" s="9" t="s">
        <v>78</v>
      </c>
      <c r="F845" s="9" t="s">
        <v>1383</v>
      </c>
      <c r="G845" s="9"/>
      <c r="H845" s="5" t="s">
        <v>802</v>
      </c>
      <c r="I845" s="5" t="s">
        <v>825</v>
      </c>
      <c r="J845" s="9" t="s">
        <v>9</v>
      </c>
      <c r="K845" s="9"/>
    </row>
    <row r="846" spans="1:11" x14ac:dyDescent="0.25">
      <c r="A846" s="16">
        <v>45709</v>
      </c>
      <c r="B846" s="5" t="s">
        <v>661</v>
      </c>
      <c r="C846" s="5">
        <v>69</v>
      </c>
      <c r="D846" s="5" t="s">
        <v>214</v>
      </c>
      <c r="E846" s="5" t="s">
        <v>687</v>
      </c>
      <c r="F846" s="5" t="s">
        <v>662</v>
      </c>
      <c r="G846" s="5" t="s">
        <v>539</v>
      </c>
      <c r="H846" s="5" t="s">
        <v>802</v>
      </c>
      <c r="I846" s="5" t="s">
        <v>825</v>
      </c>
      <c r="J846" s="9" t="s">
        <v>9</v>
      </c>
      <c r="K846" s="5"/>
    </row>
    <row r="847" spans="1:11" x14ac:dyDescent="0.25">
      <c r="A847" s="4">
        <v>45710</v>
      </c>
      <c r="B847" s="5" t="s">
        <v>1640</v>
      </c>
      <c r="C847" s="5">
        <v>80</v>
      </c>
      <c r="D847" s="8" t="s">
        <v>8</v>
      </c>
      <c r="E847" s="5" t="s">
        <v>1641</v>
      </c>
      <c r="F847" s="5" t="s">
        <v>1642</v>
      </c>
      <c r="G847" s="5"/>
      <c r="H847" s="5" t="s">
        <v>802</v>
      </c>
      <c r="I847" s="5"/>
      <c r="J847" s="9" t="s">
        <v>9</v>
      </c>
      <c r="K847" s="5"/>
    </row>
    <row r="848" spans="1:11" x14ac:dyDescent="0.25">
      <c r="A848" s="10">
        <v>45715</v>
      </c>
      <c r="B848" s="9" t="s">
        <v>1653</v>
      </c>
      <c r="C848" s="9">
        <v>58</v>
      </c>
      <c r="D848" s="9" t="s">
        <v>17</v>
      </c>
      <c r="E848" s="9" t="s">
        <v>366</v>
      </c>
      <c r="F848" s="9" t="s">
        <v>1654</v>
      </c>
      <c r="G848" s="9"/>
      <c r="H848" s="5" t="s">
        <v>802</v>
      </c>
      <c r="I848" s="9" t="s">
        <v>825</v>
      </c>
      <c r="J848" s="9" t="s">
        <v>9</v>
      </c>
      <c r="K848" s="9"/>
    </row>
    <row r="849" spans="1:11" x14ac:dyDescent="0.25">
      <c r="A849" s="4">
        <v>45716</v>
      </c>
      <c r="B849" s="5" t="s">
        <v>1651</v>
      </c>
      <c r="C849" s="5">
        <v>73</v>
      </c>
      <c r="D849" s="5" t="s">
        <v>214</v>
      </c>
      <c r="E849" s="5" t="s">
        <v>1356</v>
      </c>
      <c r="F849" s="5" t="s">
        <v>1652</v>
      </c>
      <c r="G849" s="5"/>
      <c r="H849" s="5" t="s">
        <v>802</v>
      </c>
      <c r="I849" s="9" t="s">
        <v>825</v>
      </c>
      <c r="J849" s="9" t="s">
        <v>9</v>
      </c>
      <c r="K849" s="5"/>
    </row>
    <row r="850" spans="1:11" x14ac:dyDescent="0.25">
      <c r="A850" s="10">
        <v>45721</v>
      </c>
      <c r="B850" s="9" t="s">
        <v>1643</v>
      </c>
      <c r="C850" s="9"/>
      <c r="D850" s="9" t="s">
        <v>1644</v>
      </c>
      <c r="E850" s="9" t="s">
        <v>1614</v>
      </c>
      <c r="F850" s="9" t="s">
        <v>1645</v>
      </c>
      <c r="G850" s="9"/>
      <c r="H850" s="5" t="s">
        <v>802</v>
      </c>
      <c r="I850" s="9" t="s">
        <v>825</v>
      </c>
      <c r="J850" s="9" t="s">
        <v>9</v>
      </c>
      <c r="K850" s="9"/>
    </row>
    <row r="851" spans="1:11" x14ac:dyDescent="0.25">
      <c r="A851" s="4">
        <v>45721</v>
      </c>
      <c r="B851" s="5" t="s">
        <v>1646</v>
      </c>
      <c r="C851" s="5"/>
      <c r="D851" s="5" t="s">
        <v>1644</v>
      </c>
      <c r="E851" s="5" t="s">
        <v>1611</v>
      </c>
      <c r="F851" s="5" t="s">
        <v>1647</v>
      </c>
      <c r="G851" s="5"/>
      <c r="H851" s="5" t="s">
        <v>802</v>
      </c>
      <c r="I851" s="9" t="s">
        <v>825</v>
      </c>
      <c r="J851" s="9" t="s">
        <v>9</v>
      </c>
      <c r="K851" s="5"/>
    </row>
    <row r="852" spans="1:11" x14ac:dyDescent="0.25">
      <c r="A852" s="10">
        <v>45722</v>
      </c>
      <c r="B852" s="9" t="s">
        <v>1648</v>
      </c>
      <c r="C852" s="9"/>
      <c r="D852" s="8" t="s">
        <v>120</v>
      </c>
      <c r="E852" s="9" t="s">
        <v>1649</v>
      </c>
      <c r="F852" s="9" t="s">
        <v>1650</v>
      </c>
      <c r="G852" s="9"/>
      <c r="H852" s="5" t="s">
        <v>802</v>
      </c>
      <c r="I852" s="9" t="s">
        <v>825</v>
      </c>
      <c r="J852" s="9" t="s">
        <v>9</v>
      </c>
      <c r="K852" s="9"/>
    </row>
    <row r="853" spans="1:11" x14ac:dyDescent="0.25">
      <c r="A853" s="4">
        <v>45723</v>
      </c>
      <c r="B853" s="5" t="s">
        <v>1655</v>
      </c>
      <c r="C853" s="5">
        <v>24</v>
      </c>
      <c r="D853" s="8" t="s">
        <v>8</v>
      </c>
      <c r="E853" s="5" t="s">
        <v>1656</v>
      </c>
      <c r="F853" s="5" t="s">
        <v>1657</v>
      </c>
      <c r="G853" s="5"/>
      <c r="H853" s="5" t="s">
        <v>802</v>
      </c>
      <c r="I853" s="5" t="s">
        <v>1349</v>
      </c>
      <c r="J853" s="5" t="s">
        <v>24</v>
      </c>
      <c r="K853" s="5"/>
    </row>
    <row r="854" spans="1:11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</row>
  </sheetData>
  <phoneticPr fontId="3" type="noConversion"/>
  <pageMargins left="0.70866141732283472" right="0.70866141732283472" top="0.74803149606299213" bottom="0.74803149606299213" header="0.31496062992125984" footer="0.31496062992125984"/>
  <pageSetup paperSize="5" pageOrder="overThenDown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537B-4061-4AAC-B3C4-B0C53061760B}">
  <sheetPr codeName="Hoja4">
    <tabColor rgb="FF0070C0"/>
  </sheetPr>
  <dimension ref="B1:L853"/>
  <sheetViews>
    <sheetView workbookViewId="0">
      <selection activeCell="F1" sqref="F1:F1048576"/>
    </sheetView>
  </sheetViews>
  <sheetFormatPr baseColWidth="10" defaultRowHeight="15" x14ac:dyDescent="0.25"/>
  <cols>
    <col min="3" max="3" width="21.5703125" bestFit="1" customWidth="1"/>
    <col min="5" max="5" width="14.85546875" bestFit="1" customWidth="1"/>
    <col min="6" max="6" width="34.5703125" customWidth="1"/>
    <col min="7" max="7" width="15.7109375" bestFit="1" customWidth="1"/>
    <col min="8" max="8" width="15.140625" bestFit="1" customWidth="1"/>
    <col min="9" max="9" width="14.85546875" bestFit="1" customWidth="1"/>
    <col min="10" max="10" width="16.7109375" bestFit="1" customWidth="1"/>
    <col min="11" max="11" width="7.140625" bestFit="1" customWidth="1"/>
    <col min="12" max="13" width="12.85546875" bestFit="1" customWidth="1"/>
  </cols>
  <sheetData>
    <row r="1" spans="2:12" ht="34.5" customHeight="1" x14ac:dyDescent="0.25">
      <c r="B1" t="s">
        <v>1663</v>
      </c>
      <c r="E1" s="22" t="s">
        <v>1</v>
      </c>
      <c r="F1" s="22" t="s">
        <v>2</v>
      </c>
      <c r="G1" s="22" t="s">
        <v>3</v>
      </c>
      <c r="H1" s="22" t="s">
        <v>6</v>
      </c>
      <c r="I1" s="22" t="s">
        <v>1681</v>
      </c>
      <c r="J1" s="22" t="s">
        <v>5</v>
      </c>
      <c r="K1" s="22" t="s">
        <v>1682</v>
      </c>
      <c r="L1" s="22" t="s">
        <v>1659</v>
      </c>
    </row>
    <row r="2" spans="2:12" x14ac:dyDescent="0.25">
      <c r="B2" s="20" cm="1">
        <f t="array" ref="B2:L853">_xlfn._xlws.FILTER(Datos[],ISNUMBER(SEARCH(B1,Datos[PACIENTE])),"No Existe")</f>
        <v>44928</v>
      </c>
      <c r="C2" t="str">
        <v>VILCHE YAIR</v>
      </c>
      <c r="D2">
        <v>21</v>
      </c>
      <c r="E2" t="str">
        <v>NARVAEZ</v>
      </c>
      <c r="F2" t="str">
        <v xml:space="preserve">AMPUTACION </v>
      </c>
      <c r="G2" t="str">
        <v xml:space="preserve">PILON TIBIAL </v>
      </c>
      <c r="H2">
        <v>0</v>
      </c>
      <c r="I2" t="str">
        <v xml:space="preserve">INICIADO </v>
      </c>
      <c r="J2" t="str">
        <v>PARANÁ</v>
      </c>
      <c r="K2" t="str">
        <v>S/M</v>
      </c>
      <c r="L2">
        <v>0</v>
      </c>
    </row>
    <row r="3" spans="2:12" x14ac:dyDescent="0.25">
      <c r="B3" s="20">
        <v>44930</v>
      </c>
      <c r="C3" t="str">
        <v xml:space="preserve">AGUIRRE BLANCA </v>
      </c>
      <c r="D3">
        <v>73</v>
      </c>
      <c r="E3" t="str">
        <v>GARCIA VITOR</v>
      </c>
      <c r="F3" t="str">
        <v>AFLOJ PROTS</v>
      </c>
      <c r="G3" t="str">
        <v xml:space="preserve">PTC REVIS/COTILO DOBLE </v>
      </c>
      <c r="H3" t="str">
        <v>VILLALBA</v>
      </c>
      <c r="I3" t="str">
        <v>ACEPTADO</v>
      </c>
      <c r="J3" t="str">
        <v>PARANÁ</v>
      </c>
      <c r="K3" t="str">
        <v>PAMI</v>
      </c>
      <c r="L3">
        <v>0</v>
      </c>
    </row>
    <row r="4" spans="2:12" x14ac:dyDescent="0.25">
      <c r="B4" s="20">
        <v>44987</v>
      </c>
      <c r="C4" t="str">
        <v xml:space="preserve">REY MARIA    </v>
      </c>
      <c r="D4">
        <v>69</v>
      </c>
      <c r="E4" t="str">
        <v>RESIDENTES</v>
      </c>
      <c r="F4" t="str">
        <v>FX MUÑECA</v>
      </c>
      <c r="G4" t="str">
        <v xml:space="preserve">P. VOLAR </v>
      </c>
      <c r="H4" t="str">
        <v xml:space="preserve">IP MAGNA </v>
      </c>
      <c r="I4" t="str">
        <v>ACEPTADO</v>
      </c>
      <c r="J4" t="str">
        <v>PARANÁ</v>
      </c>
      <c r="K4" t="str">
        <v>PAMI</v>
      </c>
      <c r="L4">
        <v>0</v>
      </c>
    </row>
    <row r="5" spans="2:12" x14ac:dyDescent="0.25">
      <c r="B5" s="20">
        <v>44987</v>
      </c>
      <c r="C5" t="str">
        <v xml:space="preserve">LOPEZ MANUEL </v>
      </c>
      <c r="D5">
        <v>75</v>
      </c>
      <c r="E5" t="str">
        <v>STOPELLO</v>
      </c>
      <c r="F5" t="str">
        <v>RODILLA</v>
      </c>
      <c r="G5" t="str">
        <v xml:space="preserve">PTR  DE REVISION   DER </v>
      </c>
      <c r="H5" t="str">
        <v>VILLALBA</v>
      </c>
      <c r="I5" t="str">
        <v>ACEPTADO</v>
      </c>
      <c r="J5" t="str">
        <v>PARANÁ</v>
      </c>
      <c r="K5" t="str">
        <v>PAMI</v>
      </c>
      <c r="L5">
        <v>3512123222</v>
      </c>
    </row>
    <row r="6" spans="2:12" x14ac:dyDescent="0.25">
      <c r="B6" s="20">
        <v>44987</v>
      </c>
      <c r="C6" t="str">
        <v xml:space="preserve">REYNAGA RUBEN </v>
      </c>
      <c r="D6">
        <v>35</v>
      </c>
      <c r="E6" t="str">
        <v>GARCIA VITOR</v>
      </c>
      <c r="F6" t="str">
        <v xml:space="preserve">CADERA </v>
      </c>
      <c r="G6" t="str">
        <v>PTC CEMENTADA / COTILO</v>
      </c>
      <c r="H6">
        <v>0</v>
      </c>
      <c r="I6" t="str">
        <v>INICIADO</v>
      </c>
      <c r="J6" t="str">
        <v xml:space="preserve">FEDERACION </v>
      </c>
      <c r="K6" t="str">
        <v>S/M</v>
      </c>
      <c r="L6">
        <v>0</v>
      </c>
    </row>
    <row r="7" spans="2:12" x14ac:dyDescent="0.25">
      <c r="B7" s="20">
        <v>44987</v>
      </c>
      <c r="C7" t="str">
        <v xml:space="preserve">IGARTUA VICTOR </v>
      </c>
      <c r="D7">
        <v>32</v>
      </c>
      <c r="E7" t="str">
        <v>GARCIA VITOR</v>
      </c>
      <c r="F7" t="str">
        <v xml:space="preserve">CADERA </v>
      </c>
      <c r="G7" t="str">
        <v>PTC CEMENTADA / COTILO</v>
      </c>
      <c r="H7">
        <v>0</v>
      </c>
      <c r="I7" t="str">
        <v>INICIADO</v>
      </c>
      <c r="J7" t="str">
        <v>PARANÁ</v>
      </c>
      <c r="K7" t="str">
        <v>S/M</v>
      </c>
      <c r="L7">
        <v>0</v>
      </c>
    </row>
    <row r="8" spans="2:12" x14ac:dyDescent="0.25">
      <c r="B8" s="20">
        <v>44988</v>
      </c>
      <c r="C8" t="str">
        <v xml:space="preserve">PEREZ ELDA </v>
      </c>
      <c r="D8">
        <v>87</v>
      </c>
      <c r="E8" t="str">
        <v>MERLINI</v>
      </c>
      <c r="F8" t="str">
        <v>FX CADERA</v>
      </c>
      <c r="G8" t="str">
        <v xml:space="preserve">PRT CADERA BIPOLAR </v>
      </c>
      <c r="H8" t="str">
        <v xml:space="preserve">VILLALBA </v>
      </c>
      <c r="I8" t="str">
        <v>ACEPTADO</v>
      </c>
      <c r="J8" t="str">
        <v>PARANÁ</v>
      </c>
      <c r="K8" t="str">
        <v>PAMI</v>
      </c>
      <c r="L8">
        <v>0</v>
      </c>
    </row>
    <row r="9" spans="2:12" x14ac:dyDescent="0.25">
      <c r="B9" s="20">
        <v>44991</v>
      </c>
      <c r="C9" t="str">
        <v>FRANZ GERARDO</v>
      </c>
      <c r="D9">
        <v>18</v>
      </c>
      <c r="E9" t="str">
        <v>MERLINI</v>
      </c>
      <c r="F9" t="str">
        <v xml:space="preserve">TIBIA Y PERONE </v>
      </c>
      <c r="G9" t="str">
        <v>PLACA DCP/CLAVIJAS</v>
      </c>
      <c r="H9">
        <v>0</v>
      </c>
      <c r="I9" t="str">
        <v>ACEPTADO</v>
      </c>
      <c r="J9" t="str">
        <v>PARANÁ</v>
      </c>
      <c r="K9" t="str">
        <v>S/M</v>
      </c>
      <c r="L9">
        <v>0</v>
      </c>
    </row>
    <row r="10" spans="2:12" x14ac:dyDescent="0.25">
      <c r="B10" s="20">
        <v>44991</v>
      </c>
      <c r="C10" t="str">
        <v>RUBERTO MELISA</v>
      </c>
      <c r="D10">
        <v>28</v>
      </c>
      <c r="E10" t="str">
        <v>MERLINI</v>
      </c>
      <c r="F10" t="str">
        <v>MANO DER</v>
      </c>
      <c r="G10" t="str">
        <v>P. DISTAL /TORN</v>
      </c>
      <c r="H10">
        <v>0</v>
      </c>
      <c r="I10" t="str">
        <v>INICIADO</v>
      </c>
      <c r="J10" t="str">
        <v>PARANÁ</v>
      </c>
      <c r="K10" t="str">
        <v>S/M</v>
      </c>
      <c r="L10">
        <v>0</v>
      </c>
    </row>
    <row r="11" spans="2:12" x14ac:dyDescent="0.25">
      <c r="B11" s="20">
        <v>44991</v>
      </c>
      <c r="C11" t="str">
        <v>DETLER RICARDO</v>
      </c>
      <c r="D11">
        <v>39</v>
      </c>
      <c r="E11" t="str">
        <v>MERLINI</v>
      </c>
      <c r="F11" t="str">
        <v>FX MUÑECA</v>
      </c>
      <c r="G11" t="str">
        <v>PLACA DOBLE</v>
      </c>
      <c r="H11">
        <v>0</v>
      </c>
      <c r="I11" t="str">
        <v>INICIADO</v>
      </c>
      <c r="J11" t="str">
        <v>PARANÁ</v>
      </c>
      <c r="K11" t="str">
        <v>S/M</v>
      </c>
      <c r="L11">
        <v>0</v>
      </c>
    </row>
    <row r="12" spans="2:12" x14ac:dyDescent="0.25">
      <c r="B12" s="20">
        <v>44992</v>
      </c>
      <c r="C12" t="str">
        <v>BALLOHORTHS ELSA</v>
      </c>
      <c r="D12">
        <v>82</v>
      </c>
      <c r="E12" t="str">
        <v>GARCIA VITOR</v>
      </c>
      <c r="F12" t="str">
        <v xml:space="preserve">CADERA </v>
      </c>
      <c r="G12" t="str">
        <v>PTC CEMENTADA / COTILO</v>
      </c>
      <c r="H12" t="str">
        <v>VILLALBA</v>
      </c>
      <c r="I12" t="str">
        <v>ACEPTADO</v>
      </c>
      <c r="J12" t="str">
        <v>PARANÁ</v>
      </c>
      <c r="K12" t="str">
        <v>PAMI</v>
      </c>
      <c r="L12">
        <v>0</v>
      </c>
    </row>
    <row r="13" spans="2:12" x14ac:dyDescent="0.25">
      <c r="B13" s="20">
        <v>44993</v>
      </c>
      <c r="C13" t="str">
        <v xml:space="preserve">BRASESCO MIRTA </v>
      </c>
      <c r="D13">
        <v>64</v>
      </c>
      <c r="E13" t="str">
        <v>MERLINI</v>
      </c>
      <c r="F13" t="str">
        <v xml:space="preserve">FX TIBIA Y PERONE </v>
      </c>
      <c r="G13" t="str">
        <v>PLACA DCP/CLAVO ACERR.</v>
      </c>
      <c r="H13" t="str">
        <v>VILLALBA</v>
      </c>
      <c r="I13" t="str">
        <v>ACEPTADO</v>
      </c>
      <c r="J13" t="str">
        <v>PARANÁ</v>
      </c>
      <c r="K13" t="str">
        <v>PAMI</v>
      </c>
      <c r="L13">
        <v>0</v>
      </c>
    </row>
    <row r="14" spans="2:12" x14ac:dyDescent="0.25">
      <c r="B14" s="20">
        <v>44994</v>
      </c>
      <c r="C14" t="str">
        <v>CHIA HUGO</v>
      </c>
      <c r="D14">
        <v>81</v>
      </c>
      <c r="E14" t="str">
        <v>MERLINI</v>
      </c>
      <c r="F14" t="str">
        <v xml:space="preserve">FX CADERA IZQ </v>
      </c>
      <c r="G14" t="str">
        <v>CLAVO GAMMA</v>
      </c>
      <c r="H14" t="str">
        <v>VILLALBA</v>
      </c>
      <c r="I14" t="str">
        <v>OPERADO</v>
      </c>
      <c r="J14" t="str">
        <v>PARANÁ</v>
      </c>
      <c r="K14" t="str">
        <v>PAMI</v>
      </c>
      <c r="L14">
        <v>0</v>
      </c>
    </row>
    <row r="15" spans="2:12" x14ac:dyDescent="0.25">
      <c r="B15" s="20">
        <v>44994</v>
      </c>
      <c r="C15" t="str">
        <v xml:space="preserve">SANDOVAL JUAN </v>
      </c>
      <c r="D15">
        <v>78</v>
      </c>
      <c r="E15" t="str">
        <v>GARCIA VITOR</v>
      </c>
      <c r="F15" t="str">
        <v>DET.ACET.MASIVO</v>
      </c>
      <c r="G15" t="str">
        <v>PTC CEMENTADA / COTILO</v>
      </c>
      <c r="H15" t="str">
        <v>VILLALBA</v>
      </c>
      <c r="I15" t="str">
        <v>ACEPTADO</v>
      </c>
      <c r="J15" t="str">
        <v>PARANÁ</v>
      </c>
      <c r="K15" t="str">
        <v>PAMI</v>
      </c>
      <c r="L15">
        <v>154661141</v>
      </c>
    </row>
    <row r="16" spans="2:12" x14ac:dyDescent="0.25">
      <c r="B16" s="20">
        <v>44994</v>
      </c>
      <c r="C16" t="str">
        <v>ORTIZ MARIA E.</v>
      </c>
      <c r="D16">
        <v>77</v>
      </c>
      <c r="E16" t="str">
        <v>GARCIA VITOR</v>
      </c>
      <c r="F16" t="str">
        <v>COXARTROSIS</v>
      </c>
      <c r="G16" t="str">
        <v>PTC CEMENTADA / COTILO</v>
      </c>
      <c r="H16" t="str">
        <v>VILLALBA</v>
      </c>
      <c r="I16" t="str">
        <v>ACEPTADO</v>
      </c>
      <c r="J16" t="str">
        <v>PARANÁ</v>
      </c>
      <c r="K16" t="str">
        <v>PAMI</v>
      </c>
      <c r="L16">
        <v>3434621560</v>
      </c>
    </row>
    <row r="17" spans="2:12" x14ac:dyDescent="0.25">
      <c r="B17" s="20">
        <v>44994</v>
      </c>
      <c r="C17" t="str">
        <v xml:space="preserve">ALBORNOZ JORGE </v>
      </c>
      <c r="D17">
        <v>68</v>
      </c>
      <c r="E17" t="str">
        <v>MERLINI</v>
      </c>
      <c r="F17" t="str">
        <v xml:space="preserve">FX CADERA IZQ </v>
      </c>
      <c r="G17" t="str">
        <v>PTC CEMENTADA / COTILO</v>
      </c>
      <c r="H17" t="str">
        <v xml:space="preserve">IP MAGNA </v>
      </c>
      <c r="I17" t="str">
        <v>OPERADO</v>
      </c>
      <c r="J17" t="str">
        <v>PARANÁ</v>
      </c>
      <c r="K17" t="str">
        <v>PAMI</v>
      </c>
      <c r="L17">
        <v>0</v>
      </c>
    </row>
    <row r="18" spans="2:12" x14ac:dyDescent="0.25">
      <c r="B18" s="20">
        <v>44994</v>
      </c>
      <c r="C18" t="str">
        <v xml:space="preserve">VARGAS ANA MARIA </v>
      </c>
      <c r="D18">
        <v>71</v>
      </c>
      <c r="E18" t="str">
        <v>STOPELLO</v>
      </c>
      <c r="F18" t="str">
        <v>ARTR ROD DER</v>
      </c>
      <c r="G18" t="str">
        <v xml:space="preserve">PTR ANATOMICA </v>
      </c>
      <c r="H18" t="str">
        <v>VILLALBA</v>
      </c>
      <c r="I18" t="str">
        <v>ACEPTADO</v>
      </c>
      <c r="J18" t="str">
        <v>PARANÁ</v>
      </c>
      <c r="K18" t="str">
        <v>PAMI</v>
      </c>
      <c r="L18">
        <v>0</v>
      </c>
    </row>
    <row r="19" spans="2:12" x14ac:dyDescent="0.25">
      <c r="B19" s="20">
        <v>44995</v>
      </c>
      <c r="C19" t="str">
        <v xml:space="preserve">NIEVAS CARLOS </v>
      </c>
      <c r="D19">
        <v>0</v>
      </c>
      <c r="E19" t="str">
        <v>GARCIA VITOR</v>
      </c>
      <c r="F19" t="str">
        <v>L.T.ROTULIANO</v>
      </c>
      <c r="G19" t="str">
        <v>TORNILLOS /A.KNOTLESS</v>
      </c>
      <c r="H19">
        <v>0</v>
      </c>
      <c r="I19" t="str">
        <v>ACEPTADO</v>
      </c>
      <c r="J19" t="str">
        <v>NOGOYA</v>
      </c>
      <c r="K19" t="str">
        <v>S/M</v>
      </c>
      <c r="L19">
        <v>3435617122</v>
      </c>
    </row>
    <row r="20" spans="2:12" x14ac:dyDescent="0.25">
      <c r="B20" s="20">
        <v>44995</v>
      </c>
      <c r="C20" t="str">
        <v xml:space="preserve">PRADELA  FABIAN </v>
      </c>
      <c r="D20">
        <v>35</v>
      </c>
      <c r="E20" t="str">
        <v>GARCIA VITOR</v>
      </c>
      <c r="F20" t="str">
        <v>L.T.ROTULIANO</v>
      </c>
      <c r="G20" t="str">
        <v>TORNILLOS /A.KNOTLESS</v>
      </c>
      <c r="H20">
        <v>0</v>
      </c>
      <c r="I20" t="str">
        <v>ACEPTADO</v>
      </c>
      <c r="J20" t="str">
        <v>PARANÁ</v>
      </c>
      <c r="K20" t="str">
        <v>S/M</v>
      </c>
      <c r="L20">
        <v>3434259271</v>
      </c>
    </row>
    <row r="21" spans="2:12" x14ac:dyDescent="0.25">
      <c r="B21" s="20">
        <v>44995</v>
      </c>
      <c r="C21" t="str">
        <v>ANDERI ROCIO BELEN</v>
      </c>
      <c r="D21">
        <v>35</v>
      </c>
      <c r="E21" t="str">
        <v>GARCIA VITOR</v>
      </c>
      <c r="F21" t="str">
        <v>GONARTROSIS</v>
      </c>
      <c r="G21" t="str">
        <v>PT DE ODILLA DER</v>
      </c>
      <c r="H21">
        <v>0</v>
      </c>
      <c r="I21" t="str">
        <v>INICIADO</v>
      </c>
      <c r="J21" t="str">
        <v xml:space="preserve">COLON </v>
      </c>
      <c r="K21" t="str">
        <v>S/M</v>
      </c>
      <c r="L21">
        <v>0</v>
      </c>
    </row>
    <row r="22" spans="2:12" x14ac:dyDescent="0.25">
      <c r="B22" s="20">
        <v>44999</v>
      </c>
      <c r="C22" t="str">
        <v xml:space="preserve">GIMENEZ MATIAS </v>
      </c>
      <c r="D22">
        <v>42</v>
      </c>
      <c r="E22" t="str">
        <v>MERLINI</v>
      </c>
      <c r="F22" t="str">
        <v>FX MUÑECA</v>
      </c>
      <c r="G22" t="str">
        <v>PLACA DOBLE</v>
      </c>
      <c r="H22">
        <v>0</v>
      </c>
      <c r="I22" t="str">
        <v xml:space="preserve">INICIADO </v>
      </c>
      <c r="J22" t="str">
        <v>PARANÁ</v>
      </c>
      <c r="K22" t="str">
        <v>S/M</v>
      </c>
      <c r="L22">
        <v>0</v>
      </c>
    </row>
    <row r="23" spans="2:12" x14ac:dyDescent="0.25">
      <c r="B23" s="20">
        <v>44999</v>
      </c>
      <c r="C23" t="str">
        <v xml:space="preserve">AIMONE ANTONELA </v>
      </c>
      <c r="D23">
        <v>31</v>
      </c>
      <c r="E23" t="str">
        <v>MERLINI</v>
      </c>
      <c r="F23" t="str">
        <v>FX CODO</v>
      </c>
      <c r="G23" t="str">
        <v xml:space="preserve">P. ANAT. ARP. </v>
      </c>
      <c r="H23">
        <v>0</v>
      </c>
      <c r="I23" t="str">
        <v>INICIADO</v>
      </c>
      <c r="J23" t="str">
        <v>PARANÁ</v>
      </c>
      <c r="K23" t="str">
        <v>S/M</v>
      </c>
      <c r="L23">
        <v>3436638740</v>
      </c>
    </row>
    <row r="24" spans="2:12" x14ac:dyDescent="0.25">
      <c r="B24" s="20">
        <v>44999</v>
      </c>
      <c r="C24" t="str">
        <v xml:space="preserve">TERSICH ERMELINDA </v>
      </c>
      <c r="D24">
        <v>92</v>
      </c>
      <c r="E24" t="str">
        <v>MERLINI</v>
      </c>
      <c r="F24" t="str">
        <v xml:space="preserve">FX CADERA IZQ </v>
      </c>
      <c r="G24" t="str">
        <v>CLAVO GAMMA</v>
      </c>
      <c r="H24" t="str">
        <v>VILLALBA</v>
      </c>
      <c r="I24" t="str">
        <v>OPERADO</v>
      </c>
      <c r="J24" t="str">
        <v>PARANÁ</v>
      </c>
      <c r="K24" t="str">
        <v>PAMI</v>
      </c>
      <c r="L24">
        <v>0</v>
      </c>
    </row>
    <row r="25" spans="2:12" x14ac:dyDescent="0.25">
      <c r="B25" s="20">
        <v>45001</v>
      </c>
      <c r="C25" t="str">
        <v xml:space="preserve">FIORE MERCEDES </v>
      </c>
      <c r="D25">
        <v>76</v>
      </c>
      <c r="E25" t="str">
        <v>STOPELLO</v>
      </c>
      <c r="F25" t="str">
        <v>ARTR ROD DER</v>
      </c>
      <c r="G25" t="str">
        <v xml:space="preserve">PTR ANATOMICA </v>
      </c>
      <c r="H25" t="str">
        <v>VILLALBA</v>
      </c>
      <c r="I25" t="str">
        <v>ACEPTADO</v>
      </c>
      <c r="J25" t="str">
        <v>PARANÁ</v>
      </c>
      <c r="K25" t="str">
        <v>PAMI</v>
      </c>
      <c r="L25">
        <v>0</v>
      </c>
    </row>
    <row r="26" spans="2:12" x14ac:dyDescent="0.25">
      <c r="B26" s="20">
        <v>45001</v>
      </c>
      <c r="C26" t="str">
        <v>NUÑEZ OSCAR</v>
      </c>
      <c r="D26">
        <v>45</v>
      </c>
      <c r="E26" t="str">
        <v>GARCIA VITOR</v>
      </c>
      <c r="F26" t="str">
        <v xml:space="preserve">OSTEOARTRITIS </v>
      </c>
      <c r="G26" t="str">
        <v>PTC NO CEMENT</v>
      </c>
      <c r="H26">
        <v>0</v>
      </c>
      <c r="I26" t="str">
        <v>INICIADO</v>
      </c>
      <c r="J26" t="str">
        <v>PARANÁ</v>
      </c>
      <c r="K26" t="str">
        <v>S/M</v>
      </c>
      <c r="L26">
        <v>0</v>
      </c>
    </row>
    <row r="27" spans="2:12" x14ac:dyDescent="0.25">
      <c r="B27" s="20">
        <v>45002</v>
      </c>
      <c r="C27" t="str">
        <v>SUAREZ M. ELENA</v>
      </c>
      <c r="D27">
        <v>59</v>
      </c>
      <c r="E27" t="str">
        <v>STOPELLO</v>
      </c>
      <c r="F27" t="str">
        <v>ARTR ROD DER</v>
      </c>
      <c r="G27" t="str">
        <v xml:space="preserve">PTR PRIMARIA </v>
      </c>
      <c r="H27" t="str">
        <v xml:space="preserve">IP MAGNA </v>
      </c>
      <c r="I27" t="str">
        <v>ACEPTADO</v>
      </c>
      <c r="J27" t="str">
        <v>PARANÁ</v>
      </c>
      <c r="K27" t="str">
        <v>S/M</v>
      </c>
      <c r="L27">
        <v>0</v>
      </c>
    </row>
    <row r="28" spans="2:12" x14ac:dyDescent="0.25">
      <c r="B28" s="20">
        <v>45002</v>
      </c>
      <c r="C28" t="str">
        <v xml:space="preserve">MERCADO LUISA ESTER </v>
      </c>
      <c r="D28">
        <v>59</v>
      </c>
      <c r="E28" t="str">
        <v>STOPELLO</v>
      </c>
      <c r="F28" t="str">
        <v>ARTR ROD DER</v>
      </c>
      <c r="G28" t="str">
        <v xml:space="preserve">PTR PRIMARIA </v>
      </c>
      <c r="H28" t="str">
        <v xml:space="preserve">IP MAGNA </v>
      </c>
      <c r="I28" t="str">
        <v>ACEPTADO</v>
      </c>
      <c r="J28" t="str">
        <v>PARANÁ</v>
      </c>
      <c r="K28" t="str">
        <v>PAMI</v>
      </c>
      <c r="L28">
        <v>0</v>
      </c>
    </row>
    <row r="29" spans="2:12" x14ac:dyDescent="0.25">
      <c r="B29" s="20">
        <v>45002</v>
      </c>
      <c r="C29" t="str">
        <v xml:space="preserve">ABASTO GRACIELA </v>
      </c>
      <c r="D29">
        <v>69</v>
      </c>
      <c r="E29" t="str">
        <v>GARCIA VITOR</v>
      </c>
      <c r="F29" t="str">
        <v>ARTR ROD IZQ</v>
      </c>
      <c r="G29" t="str">
        <v xml:space="preserve">PTR ANATOMICA </v>
      </c>
      <c r="H29" t="str">
        <v xml:space="preserve">IP MAGNA </v>
      </c>
      <c r="I29" t="str">
        <v>ACEPTADO</v>
      </c>
      <c r="J29" t="str">
        <v>PARANÁ</v>
      </c>
      <c r="K29" t="str">
        <v>PAMI</v>
      </c>
      <c r="L29">
        <v>0</v>
      </c>
    </row>
    <row r="30" spans="2:12" x14ac:dyDescent="0.25">
      <c r="B30" s="20">
        <v>45002</v>
      </c>
      <c r="C30" t="str">
        <v>CARDOSO NILDA</v>
      </c>
      <c r="D30">
        <v>75</v>
      </c>
      <c r="E30" t="str">
        <v>MERLINI</v>
      </c>
      <c r="F30" t="str">
        <v>FX CADERA DER</v>
      </c>
      <c r="G30" t="str">
        <v>CLAVO DHS</v>
      </c>
      <c r="H30" t="str">
        <v>VILLALBA</v>
      </c>
      <c r="I30" t="str">
        <v>ACEPTADO</v>
      </c>
      <c r="J30" t="str">
        <v>PARANÁ</v>
      </c>
      <c r="K30" t="str">
        <v>PAMI</v>
      </c>
      <c r="L30">
        <v>0</v>
      </c>
    </row>
    <row r="31" spans="2:12" x14ac:dyDescent="0.25">
      <c r="B31" s="20">
        <v>45002</v>
      </c>
      <c r="C31" t="str">
        <v xml:space="preserve">ROMERO JUANA </v>
      </c>
      <c r="D31">
        <v>68</v>
      </c>
      <c r="E31" t="str">
        <v>STOPELLO</v>
      </c>
      <c r="F31" t="str">
        <v>ARTR ROD DER</v>
      </c>
      <c r="G31" t="str">
        <v xml:space="preserve">PTR ANATOMICA </v>
      </c>
      <c r="H31" t="str">
        <v xml:space="preserve">IP MAGNA </v>
      </c>
      <c r="I31" t="str">
        <v>ACEPTADO</v>
      </c>
      <c r="J31" t="str">
        <v>PARANÁ</v>
      </c>
      <c r="K31" t="str">
        <v>PAMI</v>
      </c>
      <c r="L31">
        <v>0</v>
      </c>
    </row>
    <row r="32" spans="2:12" x14ac:dyDescent="0.25">
      <c r="B32" s="20">
        <v>45002</v>
      </c>
      <c r="C32" t="str">
        <v xml:space="preserve">CACERES MABEL </v>
      </c>
      <c r="D32">
        <v>73</v>
      </c>
      <c r="E32" t="str">
        <v>STOPELLO</v>
      </c>
      <c r="F32" t="str">
        <v>GENU VARO</v>
      </c>
      <c r="G32" t="str">
        <v xml:space="preserve">PTR  DE REVISION   DER </v>
      </c>
      <c r="H32" t="str">
        <v>VILLALBA</v>
      </c>
      <c r="I32" t="str">
        <v>ACEPTADO</v>
      </c>
      <c r="J32" t="str">
        <v>PARANÁ</v>
      </c>
      <c r="K32" t="str">
        <v>PAMI</v>
      </c>
      <c r="L32">
        <v>0</v>
      </c>
    </row>
    <row r="33" spans="2:12" x14ac:dyDescent="0.25">
      <c r="B33" s="20">
        <v>45003</v>
      </c>
      <c r="C33" t="str">
        <v xml:space="preserve">PELLEGRINI DOMINGA </v>
      </c>
      <c r="D33">
        <v>73</v>
      </c>
      <c r="E33" t="str">
        <v>MERLINI</v>
      </c>
      <c r="F33" t="str">
        <v xml:space="preserve">FX TIBIA Y PERONE </v>
      </c>
      <c r="G33" t="str">
        <v>PLACA TERCI TUBO</v>
      </c>
      <c r="H33" t="str">
        <v>VILLALBA</v>
      </c>
      <c r="I33" t="str">
        <v>ACEPTADO</v>
      </c>
      <c r="J33" t="str">
        <v>PARANÁ</v>
      </c>
      <c r="K33" t="str">
        <v>PAMI</v>
      </c>
      <c r="L33" t="str">
        <v>THOMPSOM</v>
      </c>
    </row>
    <row r="34" spans="2:12" x14ac:dyDescent="0.25">
      <c r="B34" s="20">
        <v>45005</v>
      </c>
      <c r="C34" t="str">
        <v xml:space="preserve">YACUMINI JORGE </v>
      </c>
      <c r="D34">
        <v>42</v>
      </c>
      <c r="E34" t="str">
        <v>MERLINI</v>
      </c>
      <c r="F34" t="str">
        <v>FX ANTE BRAZO</v>
      </c>
      <c r="G34" t="str">
        <v>PLACA DCP BLOQ.</v>
      </c>
      <c r="H34">
        <v>0</v>
      </c>
      <c r="I34" t="str">
        <v>INICIADO</v>
      </c>
      <c r="J34" t="str">
        <v>PARANÁ</v>
      </c>
      <c r="K34" t="str">
        <v>S/M</v>
      </c>
      <c r="L34">
        <v>0</v>
      </c>
    </row>
    <row r="35" spans="2:12" x14ac:dyDescent="0.25">
      <c r="B35" s="20">
        <v>45005</v>
      </c>
      <c r="C35" t="str">
        <v>TREPPAN RENZO</v>
      </c>
      <c r="D35">
        <v>19</v>
      </c>
      <c r="E35" t="str">
        <v>MERLINI</v>
      </c>
      <c r="F35" t="str">
        <v>FX CLAVICULA</v>
      </c>
      <c r="G35" t="str">
        <v>PLACA ANT. BLOQ.</v>
      </c>
      <c r="H35">
        <v>0</v>
      </c>
      <c r="I35" t="str">
        <v>ACEPTADO</v>
      </c>
      <c r="J35" t="str">
        <v>PARANÁ</v>
      </c>
      <c r="K35" t="str">
        <v>S/M</v>
      </c>
      <c r="L35">
        <v>0</v>
      </c>
    </row>
    <row r="36" spans="2:12" x14ac:dyDescent="0.25">
      <c r="B36" s="20">
        <v>45006</v>
      </c>
      <c r="C36" t="str">
        <v>ALMADA  MARIA</v>
      </c>
      <c r="D36">
        <v>54</v>
      </c>
      <c r="E36" t="str">
        <v>MERLINI</v>
      </c>
      <c r="F36" t="str">
        <v xml:space="preserve">FX CADERA </v>
      </c>
      <c r="G36" t="str">
        <v>CLAVO GAMMA</v>
      </c>
      <c r="H36">
        <v>0</v>
      </c>
      <c r="I36" t="str">
        <v>INICIADO</v>
      </c>
      <c r="J36" t="str">
        <v>PARANÁ</v>
      </c>
      <c r="K36" t="str">
        <v>S/M</v>
      </c>
      <c r="L36">
        <v>0</v>
      </c>
    </row>
    <row r="37" spans="2:12" x14ac:dyDescent="0.25">
      <c r="B37" s="20">
        <v>45007</v>
      </c>
      <c r="C37" t="str">
        <v xml:space="preserve">GORO MARIA </v>
      </c>
      <c r="D37">
        <v>78</v>
      </c>
      <c r="E37" t="str">
        <v>MERLINI</v>
      </c>
      <c r="F37" t="str">
        <v>FX HUMERO</v>
      </c>
      <c r="G37" t="str">
        <v xml:space="preserve">CLAVO ENDOM </v>
      </c>
      <c r="H37" t="str">
        <v>VILLALBA</v>
      </c>
      <c r="I37" t="str">
        <v>ACEPTADO</v>
      </c>
      <c r="J37" t="str">
        <v>PARANÁ</v>
      </c>
      <c r="K37" t="str">
        <v>PAMI</v>
      </c>
      <c r="L37">
        <v>0</v>
      </c>
    </row>
    <row r="38" spans="2:12" x14ac:dyDescent="0.25">
      <c r="B38" s="20">
        <v>45007</v>
      </c>
      <c r="C38" t="str">
        <v xml:space="preserve">RAU  JOAQUIN </v>
      </c>
      <c r="D38">
        <v>19</v>
      </c>
      <c r="E38" t="str">
        <v>THOMPSOM</v>
      </c>
      <c r="F38" t="str">
        <v>FX MUÑECA</v>
      </c>
      <c r="G38" t="str">
        <v>PLACA VOLAR</v>
      </c>
      <c r="H38">
        <v>0</v>
      </c>
      <c r="I38" t="str">
        <v>ACEPTADO</v>
      </c>
      <c r="J38" t="str">
        <v>PARANÁ</v>
      </c>
      <c r="K38" t="str">
        <v>S/M</v>
      </c>
      <c r="L38">
        <v>0</v>
      </c>
    </row>
    <row r="39" spans="2:12" x14ac:dyDescent="0.25">
      <c r="B39" s="20">
        <v>45008</v>
      </c>
      <c r="C39" t="str">
        <v xml:space="preserve">VALTER LEONOR </v>
      </c>
      <c r="D39">
        <v>76</v>
      </c>
      <c r="E39" t="str">
        <v>MERLINI</v>
      </c>
      <c r="F39" t="str">
        <v>FX HUMERO</v>
      </c>
      <c r="G39" t="str">
        <v xml:space="preserve">PLACAS RECONTRUCCION </v>
      </c>
      <c r="H39" t="str">
        <v>VILLALBA</v>
      </c>
      <c r="I39" t="str">
        <v>ACEPTADO</v>
      </c>
      <c r="J39" t="str">
        <v>PARANÁ</v>
      </c>
      <c r="K39" t="str">
        <v>PAMI</v>
      </c>
      <c r="L39">
        <v>0</v>
      </c>
    </row>
    <row r="40" spans="2:12" x14ac:dyDescent="0.25">
      <c r="B40" s="20">
        <v>45012</v>
      </c>
      <c r="C40" t="str">
        <v xml:space="preserve">MOLINA HECTOR </v>
      </c>
      <c r="D40">
        <v>49</v>
      </c>
      <c r="E40" t="str">
        <v>CATRIEL GODOY</v>
      </c>
      <c r="F40" t="str">
        <v>FX RODILLA</v>
      </c>
      <c r="G40" t="str">
        <v xml:space="preserve">PTR ANATOMICA </v>
      </c>
      <c r="H40">
        <v>0</v>
      </c>
      <c r="I40" t="str">
        <v>INICIADO</v>
      </c>
      <c r="J40" t="str">
        <v>PARANÁ</v>
      </c>
      <c r="K40" t="str">
        <v>S/M</v>
      </c>
      <c r="L40">
        <v>3435316130</v>
      </c>
    </row>
    <row r="41" spans="2:12" x14ac:dyDescent="0.25">
      <c r="B41" s="20">
        <v>45012</v>
      </c>
      <c r="C41" t="str">
        <v xml:space="preserve">RAMIREZ RAMON </v>
      </c>
      <c r="D41">
        <v>55</v>
      </c>
      <c r="E41" t="str">
        <v>CATRIEL GODOY</v>
      </c>
      <c r="F41" t="str">
        <v>GONARTROSIS</v>
      </c>
      <c r="G41" t="str">
        <v xml:space="preserve">PTR ANATOMICA </v>
      </c>
      <c r="H41">
        <v>0</v>
      </c>
      <c r="I41" t="str">
        <v>INICIADO</v>
      </c>
      <c r="J41" t="str">
        <v>PARANÁ</v>
      </c>
      <c r="K41" t="str">
        <v>S/M</v>
      </c>
      <c r="L41">
        <v>155005349</v>
      </c>
    </row>
    <row r="42" spans="2:12" x14ac:dyDescent="0.25">
      <c r="B42" s="20">
        <v>45012</v>
      </c>
      <c r="C42" t="str">
        <v xml:space="preserve">WEINER M. JOSEFA </v>
      </c>
      <c r="D42">
        <v>61</v>
      </c>
      <c r="E42" t="str">
        <v>MERLINI</v>
      </c>
      <c r="F42" t="str">
        <v>FX MUÑECA</v>
      </c>
      <c r="G42" t="str">
        <v>PLACA VOLAR</v>
      </c>
      <c r="H42" t="str">
        <v>VILLALBA</v>
      </c>
      <c r="I42" t="str">
        <v>ACEPTADO</v>
      </c>
      <c r="J42" t="str">
        <v>PARANÁ</v>
      </c>
      <c r="K42" t="str">
        <v>PAMI</v>
      </c>
      <c r="L42">
        <v>0</v>
      </c>
    </row>
    <row r="43" spans="2:12" x14ac:dyDescent="0.25">
      <c r="B43" s="20">
        <v>45012</v>
      </c>
      <c r="C43" t="str">
        <v xml:space="preserve">VENTOSINOS RODOLFO </v>
      </c>
      <c r="D43">
        <v>76</v>
      </c>
      <c r="E43" t="str">
        <v>GARCIA VITOR</v>
      </c>
      <c r="F43" t="str">
        <v>COXARTROSIS</v>
      </c>
      <c r="G43" t="str">
        <v>PTC CEMENTADA / COTILO</v>
      </c>
      <c r="H43" t="str">
        <v>VILLALBA</v>
      </c>
      <c r="I43" t="str">
        <v>ACEPTADO</v>
      </c>
      <c r="J43" t="str">
        <v>PARANÁ</v>
      </c>
      <c r="K43" t="str">
        <v>PAMI</v>
      </c>
      <c r="L43">
        <v>0</v>
      </c>
    </row>
    <row r="44" spans="2:12" x14ac:dyDescent="0.25">
      <c r="B44" s="20">
        <v>45014</v>
      </c>
      <c r="C44" t="str">
        <v xml:space="preserve">ROSELLO PATRICIA </v>
      </c>
      <c r="D44">
        <v>58</v>
      </c>
      <c r="E44" t="str">
        <v>MERLINI</v>
      </c>
      <c r="F44" t="str">
        <v>FX MUÑECA</v>
      </c>
      <c r="G44" t="str">
        <v xml:space="preserve">PLACA DOBLE </v>
      </c>
      <c r="H44">
        <v>0</v>
      </c>
      <c r="I44" t="str">
        <v>INICIADO</v>
      </c>
      <c r="J44" t="str">
        <v>PARANÁ</v>
      </c>
      <c r="K44" t="str">
        <v>S/M</v>
      </c>
      <c r="L44">
        <v>3425296802</v>
      </c>
    </row>
    <row r="45" spans="2:12" x14ac:dyDescent="0.25">
      <c r="B45" s="20">
        <v>45014</v>
      </c>
      <c r="C45" t="str">
        <v xml:space="preserve">ACOSTA SALMA DYLAN </v>
      </c>
      <c r="D45">
        <v>15</v>
      </c>
      <c r="E45" t="str">
        <v>MERLINI</v>
      </c>
      <c r="F45" t="str">
        <v>FX TOBILLO IZQ</v>
      </c>
      <c r="G45" t="str">
        <v>PLACA TERCI TUBO</v>
      </c>
      <c r="H45">
        <v>0</v>
      </c>
      <c r="I45" t="str">
        <v>ACEPTADO</v>
      </c>
      <c r="J45" t="str">
        <v>PARANÁ</v>
      </c>
      <c r="K45" t="str">
        <v>S/M</v>
      </c>
      <c r="L45">
        <v>0</v>
      </c>
    </row>
    <row r="46" spans="2:12" x14ac:dyDescent="0.25">
      <c r="B46" s="20">
        <v>45014</v>
      </c>
      <c r="C46" t="str">
        <v xml:space="preserve">LARROSA DANIEL </v>
      </c>
      <c r="D46">
        <v>38</v>
      </c>
      <c r="E46" t="str">
        <v>MERLINI</v>
      </c>
      <c r="F46" t="str">
        <v>FX ANTE BRAZO</v>
      </c>
      <c r="G46" t="str">
        <v xml:space="preserve">PLACA DOBLE </v>
      </c>
      <c r="H46">
        <v>0</v>
      </c>
      <c r="I46" t="str">
        <v>OPERADO</v>
      </c>
      <c r="J46" t="str">
        <v>PARANÁ</v>
      </c>
      <c r="K46" t="str">
        <v>S/M</v>
      </c>
      <c r="L46">
        <v>0</v>
      </c>
    </row>
    <row r="47" spans="2:12" x14ac:dyDescent="0.25">
      <c r="B47" s="20">
        <v>45014</v>
      </c>
      <c r="C47" t="str">
        <v>SANCHEZ DIEGO</v>
      </c>
      <c r="D47">
        <v>22</v>
      </c>
      <c r="E47" t="str">
        <v>VENTURI</v>
      </c>
      <c r="F47" t="str">
        <v>LCA</v>
      </c>
      <c r="G47" t="str">
        <v xml:space="preserve">BOTON/TORNILLOS </v>
      </c>
      <c r="H47">
        <v>0</v>
      </c>
      <c r="I47" t="str">
        <v>ACEPTADO</v>
      </c>
      <c r="J47" t="str">
        <v>PARANÁ</v>
      </c>
      <c r="K47" t="str">
        <v>S/M</v>
      </c>
      <c r="L47">
        <v>3435368043</v>
      </c>
    </row>
    <row r="48" spans="2:12" x14ac:dyDescent="0.25">
      <c r="B48" s="20">
        <v>45015</v>
      </c>
      <c r="C48" t="str">
        <v xml:space="preserve">GONZALEZ J. DANIEL </v>
      </c>
      <c r="D48">
        <v>67</v>
      </c>
      <c r="E48" t="str">
        <v>GARCIA VITOR</v>
      </c>
      <c r="F48" t="str">
        <v>AFLOJ. PROTESICO</v>
      </c>
      <c r="G48" t="str">
        <v xml:space="preserve">RTR DE REVISION </v>
      </c>
      <c r="H48" t="str">
        <v xml:space="preserve">IP MAGNA </v>
      </c>
      <c r="I48" t="str">
        <v>ACEPTADO</v>
      </c>
      <c r="J48" t="str">
        <v>PARANÁ</v>
      </c>
      <c r="K48" t="str">
        <v>PAMI</v>
      </c>
      <c r="L48">
        <v>0</v>
      </c>
    </row>
    <row r="49" spans="2:12" x14ac:dyDescent="0.25">
      <c r="B49" s="20">
        <v>45015</v>
      </c>
      <c r="C49" t="str">
        <v>COMAR CLARA</v>
      </c>
      <c r="D49">
        <v>75</v>
      </c>
      <c r="E49" t="str">
        <v>YACOMO</v>
      </c>
      <c r="F49" t="str">
        <v>GONARTROSIS</v>
      </c>
      <c r="G49" t="str">
        <v xml:space="preserve">PTR ANATOMICA </v>
      </c>
      <c r="H49" t="str">
        <v>VILLALBA</v>
      </c>
      <c r="I49" t="str">
        <v>ACEPTADO</v>
      </c>
      <c r="J49" t="str">
        <v>PARANÁ</v>
      </c>
      <c r="K49" t="str">
        <v>PAMI</v>
      </c>
      <c r="L49">
        <v>5289542</v>
      </c>
    </row>
    <row r="50" spans="2:12" x14ac:dyDescent="0.25">
      <c r="B50" s="20">
        <v>45015</v>
      </c>
      <c r="C50" t="str">
        <v xml:space="preserve">CENTURION LUIS </v>
      </c>
      <c r="D50">
        <v>51</v>
      </c>
      <c r="E50" t="str">
        <v>YACOMO</v>
      </c>
      <c r="F50" t="str">
        <v>GENU VARO</v>
      </c>
      <c r="G50" t="str">
        <v xml:space="preserve">BOTON/TORNILLOS </v>
      </c>
      <c r="H50">
        <v>0</v>
      </c>
      <c r="I50" t="str">
        <v>ACEPTADO</v>
      </c>
      <c r="J50" t="str">
        <v>PARANÁ</v>
      </c>
      <c r="K50" t="str">
        <v>S/M</v>
      </c>
      <c r="L50">
        <v>3434624471</v>
      </c>
    </row>
    <row r="51" spans="2:12" x14ac:dyDescent="0.25">
      <c r="B51" s="20">
        <v>45015</v>
      </c>
      <c r="C51" t="str">
        <v xml:space="preserve">HOLLMAN  HILARIO </v>
      </c>
      <c r="D51">
        <v>71</v>
      </c>
      <c r="E51" t="str">
        <v>STOPELLO</v>
      </c>
      <c r="F51" t="str">
        <v>COXARTROSIS</v>
      </c>
      <c r="G51" t="str">
        <v xml:space="preserve">RTC CEMENTADA </v>
      </c>
      <c r="H51" t="str">
        <v>VILLALBA</v>
      </c>
      <c r="I51" t="str">
        <v>ACEPTADO</v>
      </c>
      <c r="J51" t="str">
        <v>PARANÁ</v>
      </c>
      <c r="K51" t="str">
        <v>PAMI</v>
      </c>
      <c r="L51">
        <v>0</v>
      </c>
    </row>
    <row r="52" spans="2:12" x14ac:dyDescent="0.25">
      <c r="B52" s="20">
        <v>45016</v>
      </c>
      <c r="C52" t="str">
        <v xml:space="preserve">CASCO  RAMONA </v>
      </c>
      <c r="D52">
        <v>66</v>
      </c>
      <c r="E52" t="str">
        <v>MERLINI</v>
      </c>
      <c r="F52" t="str">
        <v>FX CADERA</v>
      </c>
      <c r="G52" t="str">
        <v xml:space="preserve">CLACO GAMMA </v>
      </c>
      <c r="H52" t="str">
        <v>VILLALBA</v>
      </c>
      <c r="I52" t="str">
        <v>ACEPTADO</v>
      </c>
      <c r="J52" t="str">
        <v>PARANÁ</v>
      </c>
      <c r="K52" t="str">
        <v>PAMI</v>
      </c>
      <c r="L52">
        <v>0</v>
      </c>
    </row>
    <row r="53" spans="2:12" x14ac:dyDescent="0.25">
      <c r="B53" s="20">
        <v>45019</v>
      </c>
      <c r="C53" t="str">
        <v xml:space="preserve">GOMEZ  ELODIA </v>
      </c>
      <c r="D53">
        <v>66</v>
      </c>
      <c r="E53" t="str">
        <v>GARCIA VITOR</v>
      </c>
      <c r="F53" t="str">
        <v>GONARTROSIS</v>
      </c>
      <c r="G53" t="str">
        <v xml:space="preserve">RTR ANATOMICA </v>
      </c>
      <c r="H53" t="str">
        <v xml:space="preserve">IP MAGNA </v>
      </c>
      <c r="I53" t="str">
        <v>ACEPTADO</v>
      </c>
      <c r="J53" t="str">
        <v>PARANÁ</v>
      </c>
      <c r="K53" t="str">
        <v>PAMI</v>
      </c>
      <c r="L53">
        <v>3435038414</v>
      </c>
    </row>
    <row r="54" spans="2:12" x14ac:dyDescent="0.25">
      <c r="B54" s="20">
        <v>45020</v>
      </c>
      <c r="C54" t="str">
        <v xml:space="preserve">CASTILLO MARGAITA </v>
      </c>
      <c r="D54">
        <v>72</v>
      </c>
      <c r="E54" t="str">
        <v>MERLINI</v>
      </c>
      <c r="F54" t="str">
        <v>FX HUMERO</v>
      </c>
      <c r="G54" t="str">
        <v>PLACA PHILOS</v>
      </c>
      <c r="H54" t="str">
        <v>VILLALBA</v>
      </c>
      <c r="I54" t="str">
        <v>ACEPTADO</v>
      </c>
      <c r="J54" t="str">
        <v>PARANÁ</v>
      </c>
      <c r="K54" t="str">
        <v>PAMI</v>
      </c>
      <c r="L54">
        <v>0</v>
      </c>
    </row>
    <row r="55" spans="2:12" x14ac:dyDescent="0.25">
      <c r="B55" s="20">
        <v>45020</v>
      </c>
      <c r="C55" t="str">
        <v xml:space="preserve">BECCHIO ELSA </v>
      </c>
      <c r="D55">
        <v>82</v>
      </c>
      <c r="E55" t="str">
        <v>MERLINI</v>
      </c>
      <c r="F55" t="str">
        <v>FX CADERA</v>
      </c>
      <c r="G55" t="str">
        <v>CLAVO GAMMA</v>
      </c>
      <c r="H55" t="str">
        <v>VILLALBA</v>
      </c>
      <c r="I55" t="str">
        <v>ACEPTADO</v>
      </c>
      <c r="J55" t="str">
        <v>PARANÁ</v>
      </c>
      <c r="K55" t="str">
        <v>PAMI</v>
      </c>
      <c r="L55">
        <v>0</v>
      </c>
    </row>
    <row r="56" spans="2:12" x14ac:dyDescent="0.25">
      <c r="B56" s="20">
        <v>45020</v>
      </c>
      <c r="C56" t="str">
        <v xml:space="preserve">DEGREGORIO STEFANO </v>
      </c>
      <c r="D56">
        <v>33</v>
      </c>
      <c r="E56" t="str">
        <v>MERLINI</v>
      </c>
      <c r="F56" t="str">
        <v>FX CLAVICULA</v>
      </c>
      <c r="G56" t="str">
        <v>PLACA ANAT</v>
      </c>
      <c r="H56">
        <v>0</v>
      </c>
      <c r="I56" t="str">
        <v>INICIADO</v>
      </c>
      <c r="J56" t="str">
        <v>PARANÁ</v>
      </c>
      <c r="K56" t="str">
        <v>S/M</v>
      </c>
      <c r="L56">
        <v>3435164853</v>
      </c>
    </row>
    <row r="57" spans="2:12" x14ac:dyDescent="0.25">
      <c r="B57" s="20">
        <v>45024</v>
      </c>
      <c r="C57" t="str">
        <v>AGUIRRES JOAQUIN</v>
      </c>
      <c r="D57">
        <v>23</v>
      </c>
      <c r="E57">
        <v>0</v>
      </c>
      <c r="F57" t="str">
        <v>FX FEMUR</v>
      </c>
      <c r="G57" t="str">
        <v>CLAVO RETROGRADO</v>
      </c>
      <c r="H57">
        <v>0</v>
      </c>
      <c r="I57" t="str">
        <v>ACEPTADO</v>
      </c>
      <c r="J57">
        <v>0</v>
      </c>
      <c r="K57" t="str">
        <v>S/M</v>
      </c>
      <c r="L57">
        <v>0</v>
      </c>
    </row>
    <row r="58" spans="2:12" x14ac:dyDescent="0.25">
      <c r="B58" s="20">
        <v>45026</v>
      </c>
      <c r="C58" t="str">
        <v xml:space="preserve">LAIMER ZELAYA GROVER </v>
      </c>
      <c r="D58">
        <v>30</v>
      </c>
      <c r="E58" t="str">
        <v>MERLINI</v>
      </c>
      <c r="F58" t="str">
        <v>FX MUÑECA</v>
      </c>
      <c r="G58" t="str">
        <v xml:space="preserve">PLACA DOBLE H. DISTAL </v>
      </c>
      <c r="H58">
        <v>0</v>
      </c>
      <c r="I58" t="str">
        <v>ACEPTADO</v>
      </c>
      <c r="J58" t="str">
        <v>PARANÁ</v>
      </c>
      <c r="K58" t="str">
        <v>PAMI</v>
      </c>
      <c r="L58">
        <v>0</v>
      </c>
    </row>
    <row r="59" spans="2:12" x14ac:dyDescent="0.25">
      <c r="B59" s="20">
        <v>45026</v>
      </c>
      <c r="C59" t="str">
        <v>RODRIGUEZ LEONARDO</v>
      </c>
      <c r="D59">
        <v>29</v>
      </c>
      <c r="E59" t="str">
        <v>MERLINI</v>
      </c>
      <c r="F59" t="str">
        <v>FX ESCAFOEDES</v>
      </c>
      <c r="G59" t="str">
        <v>TORN. HERBERT</v>
      </c>
      <c r="H59">
        <v>0</v>
      </c>
      <c r="I59" t="str">
        <v xml:space="preserve">INICIADO </v>
      </c>
      <c r="J59" t="str">
        <v>PARANÁ</v>
      </c>
      <c r="K59" t="str">
        <v>S/M</v>
      </c>
      <c r="L59">
        <v>155196398</v>
      </c>
    </row>
    <row r="60" spans="2:12" x14ac:dyDescent="0.25">
      <c r="B60" s="20">
        <v>45026</v>
      </c>
      <c r="C60" t="str">
        <v xml:space="preserve">DA SILVA MUIRIAM </v>
      </c>
      <c r="D60">
        <v>38</v>
      </c>
      <c r="E60" t="str">
        <v>MERLINI</v>
      </c>
      <c r="F60" t="str">
        <v>FX CODO DER</v>
      </c>
      <c r="G60" t="str">
        <v>PLACA LCP</v>
      </c>
      <c r="H60">
        <v>0</v>
      </c>
      <c r="I60" t="str">
        <v>INICIADO</v>
      </c>
      <c r="J60" t="str">
        <v>PARANÁ</v>
      </c>
      <c r="K60" t="str">
        <v>S/M</v>
      </c>
      <c r="L60">
        <v>0</v>
      </c>
    </row>
    <row r="61" spans="2:12" x14ac:dyDescent="0.25">
      <c r="B61" s="20">
        <v>45026</v>
      </c>
      <c r="C61" t="str">
        <v xml:space="preserve">RIPARI SANDRA </v>
      </c>
      <c r="D61">
        <v>53</v>
      </c>
      <c r="E61" t="str">
        <v>MERLINI</v>
      </c>
      <c r="F61" t="str">
        <v>FX MUÑECA</v>
      </c>
      <c r="G61" t="str">
        <v xml:space="preserve">PLACA DOBLE H. DISTAL </v>
      </c>
      <c r="H61">
        <v>0</v>
      </c>
      <c r="I61" t="str">
        <v>INICIADO</v>
      </c>
      <c r="J61" t="str">
        <v>PARANÁ</v>
      </c>
      <c r="K61" t="str">
        <v>S/M</v>
      </c>
      <c r="L61">
        <v>0</v>
      </c>
    </row>
    <row r="62" spans="2:12" x14ac:dyDescent="0.25">
      <c r="B62" s="20">
        <v>45026</v>
      </c>
      <c r="C62" t="str">
        <v xml:space="preserve">NARDUZZI SEBASIAN </v>
      </c>
      <c r="D62">
        <v>34</v>
      </c>
      <c r="E62" t="str">
        <v>MERLINI</v>
      </c>
      <c r="F62" t="str">
        <v xml:space="preserve">FX F1 MANO IZQ </v>
      </c>
      <c r="G62" t="str">
        <v xml:space="preserve">TOR- PARA FALANGES </v>
      </c>
      <c r="H62">
        <v>0</v>
      </c>
      <c r="I62" t="str">
        <v>ACEPTADO</v>
      </c>
      <c r="J62" t="str">
        <v>PARANÁ</v>
      </c>
      <c r="K62" t="str">
        <v>S/M</v>
      </c>
      <c r="L62">
        <v>0</v>
      </c>
    </row>
    <row r="63" spans="2:12" x14ac:dyDescent="0.25">
      <c r="B63" s="20">
        <v>45026</v>
      </c>
      <c r="C63" t="str">
        <v xml:space="preserve">WEIS MARIA ESTER </v>
      </c>
      <c r="D63">
        <v>76</v>
      </c>
      <c r="E63" t="str">
        <v>CATRIEL GODOY</v>
      </c>
      <c r="F63" t="str">
        <v>HALLUX VALGO</v>
      </c>
      <c r="G63" t="str">
        <v>PLACAS/TORNI</v>
      </c>
      <c r="H63" t="str">
        <v>VILLALBA</v>
      </c>
      <c r="I63" t="str">
        <v>ACEPTADO</v>
      </c>
      <c r="J63" t="str">
        <v xml:space="preserve">CERRITO </v>
      </c>
      <c r="K63" t="str">
        <v>PAMI</v>
      </c>
      <c r="L63">
        <v>0</v>
      </c>
    </row>
    <row r="64" spans="2:12" x14ac:dyDescent="0.25">
      <c r="B64" s="20">
        <v>45026</v>
      </c>
      <c r="C64" t="str">
        <v xml:space="preserve">ORTIZ ALICIA </v>
      </c>
      <c r="D64">
        <v>70</v>
      </c>
      <c r="E64" t="str">
        <v>MERLINI</v>
      </c>
      <c r="F64" t="str">
        <v>FX MUÑECA</v>
      </c>
      <c r="G64" t="str">
        <v xml:space="preserve">PLACA DOBLE H. DISTAL </v>
      </c>
      <c r="H64" t="str">
        <v>VILLALBA</v>
      </c>
      <c r="I64" t="str">
        <v>ACEPTADO</v>
      </c>
      <c r="J64" t="str">
        <v>PARANÁ</v>
      </c>
      <c r="K64" t="str">
        <v>PAMI</v>
      </c>
      <c r="L64">
        <v>0</v>
      </c>
    </row>
    <row r="65" spans="2:12" x14ac:dyDescent="0.25">
      <c r="B65" s="20">
        <v>45026</v>
      </c>
      <c r="C65" t="str">
        <v xml:space="preserve">GILES LUISA </v>
      </c>
      <c r="D65">
        <v>74</v>
      </c>
      <c r="E65" t="str">
        <v>MERLINI</v>
      </c>
      <c r="F65" t="str">
        <v>FX HUMERO</v>
      </c>
      <c r="G65" t="str">
        <v>PLACA PHILOS</v>
      </c>
      <c r="H65" t="str">
        <v>VILLALBA</v>
      </c>
      <c r="I65" t="str">
        <v>ACEPTADO</v>
      </c>
      <c r="J65" t="str">
        <v>PARANÁ</v>
      </c>
      <c r="K65" t="str">
        <v>PAMI</v>
      </c>
      <c r="L65">
        <v>0</v>
      </c>
    </row>
    <row r="66" spans="2:12" x14ac:dyDescent="0.25">
      <c r="B66" s="20">
        <v>45028</v>
      </c>
      <c r="C66" t="str">
        <v>SCHWAB  ELLY</v>
      </c>
      <c r="D66">
        <v>82</v>
      </c>
      <c r="E66" t="str">
        <v>STOPELLO</v>
      </c>
      <c r="F66" t="str">
        <v>FX HUMERO</v>
      </c>
      <c r="G66" t="str">
        <v>PLACA PHILOS</v>
      </c>
      <c r="H66" t="str">
        <v>VILLALB A</v>
      </c>
      <c r="I66" t="str">
        <v>ACEPTADO</v>
      </c>
      <c r="J66" t="str">
        <v>PARANÁ</v>
      </c>
      <c r="K66" t="str">
        <v>PAMI</v>
      </c>
      <c r="L66">
        <v>0</v>
      </c>
    </row>
    <row r="67" spans="2:12" x14ac:dyDescent="0.25">
      <c r="B67" s="20">
        <v>45028</v>
      </c>
      <c r="C67" t="str">
        <v xml:space="preserve">CAFFARENA ZUNILDA </v>
      </c>
      <c r="D67">
        <v>27</v>
      </c>
      <c r="E67" t="str">
        <v>SUKSDORF</v>
      </c>
      <c r="F67" t="str">
        <v xml:space="preserve">LCA </v>
      </c>
      <c r="G67" t="str">
        <v xml:space="preserve">TORN INTRF/BOTON </v>
      </c>
      <c r="H67">
        <v>0</v>
      </c>
      <c r="I67" t="str">
        <v>ACEPTADO</v>
      </c>
      <c r="J67" t="str">
        <v>TABOSSI</v>
      </c>
      <c r="K67" t="str">
        <v>S/M</v>
      </c>
      <c r="L67">
        <v>0</v>
      </c>
    </row>
    <row r="68" spans="2:12" x14ac:dyDescent="0.25">
      <c r="B68" s="20">
        <v>45029</v>
      </c>
      <c r="C68" t="str">
        <v xml:space="preserve">FIORI MERCEDES </v>
      </c>
      <c r="D68">
        <v>76</v>
      </c>
      <c r="E68" t="str">
        <v>STOPELLO</v>
      </c>
      <c r="F68" t="str">
        <v>GONARTROSIS</v>
      </c>
      <c r="G68" t="str">
        <v xml:space="preserve">RTR ANATOMICA </v>
      </c>
      <c r="H68" t="str">
        <v>VILLALVA</v>
      </c>
      <c r="I68" t="str">
        <v>ACEPTADO</v>
      </c>
      <c r="J68" t="str">
        <v>PARANÁ</v>
      </c>
      <c r="K68" t="str">
        <v>PAMI</v>
      </c>
      <c r="L68">
        <v>0</v>
      </c>
    </row>
    <row r="69" spans="2:12" x14ac:dyDescent="0.25">
      <c r="B69" s="20">
        <v>45030</v>
      </c>
      <c r="C69" t="str">
        <v xml:space="preserve">FISCHER  ANGELICA </v>
      </c>
      <c r="D69">
        <v>75</v>
      </c>
      <c r="E69" t="str">
        <v>CESAR MEYNET</v>
      </c>
      <c r="F69" t="str">
        <v>GENUVARO</v>
      </c>
      <c r="G69" t="str">
        <v xml:space="preserve">PTR PRIMARIA </v>
      </c>
      <c r="H69" t="str">
        <v xml:space="preserve">VILLALBA </v>
      </c>
      <c r="I69" t="str">
        <v>ACEPTADO</v>
      </c>
      <c r="J69" t="str">
        <v>PARANÁ</v>
      </c>
      <c r="K69" t="str">
        <v>PAMI</v>
      </c>
      <c r="L69">
        <v>0</v>
      </c>
    </row>
    <row r="70" spans="2:12" x14ac:dyDescent="0.25">
      <c r="B70" s="20">
        <v>45033</v>
      </c>
      <c r="C70" t="str">
        <v xml:space="preserve">YZURIETA  ADRIAN </v>
      </c>
      <c r="D70">
        <v>23</v>
      </c>
      <c r="E70" t="str">
        <v>MERLINI</v>
      </c>
      <c r="F70" t="str">
        <v>FX CLAVICULA</v>
      </c>
      <c r="G70" t="str">
        <v>PLACA ANAT</v>
      </c>
      <c r="H70">
        <v>0</v>
      </c>
      <c r="I70" t="str">
        <v xml:space="preserve">INICIADO </v>
      </c>
      <c r="J70" t="str">
        <v>PARANÁ</v>
      </c>
      <c r="K70" t="str">
        <v>S/M</v>
      </c>
      <c r="L70">
        <v>3435336066</v>
      </c>
    </row>
    <row r="71" spans="2:12" x14ac:dyDescent="0.25">
      <c r="B71" s="20">
        <v>45033</v>
      </c>
      <c r="C71" t="str">
        <v xml:space="preserve">GIRARD ANIBAL </v>
      </c>
      <c r="D71">
        <v>81</v>
      </c>
      <c r="E71" t="str">
        <v>MERLINI</v>
      </c>
      <c r="F71" t="str">
        <v>FX CADERA</v>
      </c>
      <c r="G71" t="str">
        <v>CLAVO GAMMA</v>
      </c>
      <c r="H71" t="str">
        <v xml:space="preserve">VILLALBA </v>
      </c>
      <c r="I71" t="str">
        <v>ACEPTADO</v>
      </c>
      <c r="J71" t="str">
        <v>PARANÁ</v>
      </c>
      <c r="K71" t="str">
        <v>PAMI</v>
      </c>
      <c r="L71">
        <v>0</v>
      </c>
    </row>
    <row r="72" spans="2:12" x14ac:dyDescent="0.25">
      <c r="B72" s="20">
        <v>45033</v>
      </c>
      <c r="C72" t="str">
        <v xml:space="preserve">HEFFELE MIRTA   </v>
      </c>
      <c r="D72">
        <v>72</v>
      </c>
      <c r="E72" t="str">
        <v>UCEDO</v>
      </c>
      <c r="F72" t="str">
        <v xml:space="preserve">FX  DE MUÑECA </v>
      </c>
      <c r="G72" t="str">
        <v xml:space="preserve">PLACA VOLAR </v>
      </c>
      <c r="H72" t="str">
        <v xml:space="preserve">VILLALBA </v>
      </c>
      <c r="I72" t="str">
        <v>ACEPTADO</v>
      </c>
      <c r="J72" t="str">
        <v>PARANÁ</v>
      </c>
      <c r="K72" t="str">
        <v>PAMI</v>
      </c>
      <c r="L72">
        <v>0</v>
      </c>
    </row>
    <row r="73" spans="2:12" x14ac:dyDescent="0.25">
      <c r="B73" s="20">
        <v>45033</v>
      </c>
      <c r="C73" t="str">
        <v xml:space="preserve">BONSI MARIA </v>
      </c>
      <c r="D73">
        <v>77</v>
      </c>
      <c r="E73" t="str">
        <v>MERLINI</v>
      </c>
      <c r="F73" t="str">
        <v>FX CADERA</v>
      </c>
      <c r="G73" t="str">
        <v xml:space="preserve">CLACO DHS </v>
      </c>
      <c r="H73" t="str">
        <v>VILLALBA</v>
      </c>
      <c r="I73" t="str">
        <v>ACEPTADO</v>
      </c>
      <c r="J73" t="str">
        <v>PARANÁ</v>
      </c>
      <c r="K73" t="str">
        <v>PAMI</v>
      </c>
      <c r="L73">
        <v>0</v>
      </c>
    </row>
    <row r="74" spans="2:12" x14ac:dyDescent="0.25">
      <c r="B74" s="20">
        <v>45033</v>
      </c>
      <c r="C74" t="str">
        <v xml:space="preserve">MORATO JONATHAN </v>
      </c>
      <c r="D74">
        <v>38</v>
      </c>
      <c r="E74" t="str">
        <v>MERLINI</v>
      </c>
      <c r="F74" t="str">
        <v>FX CODO</v>
      </c>
      <c r="G74" t="str">
        <v xml:space="preserve">PLACA ANATOMICA </v>
      </c>
      <c r="H74">
        <v>0</v>
      </c>
      <c r="I74" t="str">
        <v>ACEPTADO</v>
      </c>
      <c r="J74" t="str">
        <v>PARANÁ</v>
      </c>
      <c r="K74" t="str">
        <v>S/M</v>
      </c>
      <c r="L74">
        <v>0</v>
      </c>
    </row>
    <row r="75" spans="2:12" x14ac:dyDescent="0.25">
      <c r="B75" s="20">
        <v>45034</v>
      </c>
      <c r="C75" t="str">
        <v xml:space="preserve">NUÑEZ OSCAR </v>
      </c>
      <c r="D75">
        <v>0</v>
      </c>
      <c r="E75" t="str">
        <v>GARCIA VITOR</v>
      </c>
      <c r="F75">
        <v>0</v>
      </c>
      <c r="G75" t="str">
        <v>PTC CEMENTADA / COTILO</v>
      </c>
      <c r="H75">
        <v>0</v>
      </c>
      <c r="I75" t="str">
        <v xml:space="preserve">INICIADO </v>
      </c>
      <c r="J75" t="str">
        <v>PARANÁ</v>
      </c>
      <c r="K75" t="str">
        <v>S/M</v>
      </c>
      <c r="L75">
        <v>0</v>
      </c>
    </row>
    <row r="76" spans="2:12" x14ac:dyDescent="0.25">
      <c r="B76" s="20">
        <v>45034</v>
      </c>
      <c r="C76" t="str">
        <v xml:space="preserve">CASTILLO MARGARITA </v>
      </c>
      <c r="D76">
        <v>72</v>
      </c>
      <c r="E76" t="str">
        <v>MERLINI</v>
      </c>
      <c r="F76" t="str">
        <v>FX HUMERO</v>
      </c>
      <c r="G76" t="str">
        <v xml:space="preserve">CLAVO ENDOM  HUMERO </v>
      </c>
      <c r="H76" t="str">
        <v>VILLALBA</v>
      </c>
      <c r="I76" t="str">
        <v>ACEPTADO</v>
      </c>
      <c r="J76" t="str">
        <v>PARANÁ</v>
      </c>
      <c r="K76" t="str">
        <v>PAMI</v>
      </c>
      <c r="L76">
        <v>0</v>
      </c>
    </row>
    <row r="77" spans="2:12" x14ac:dyDescent="0.25">
      <c r="B77" s="20">
        <v>45035</v>
      </c>
      <c r="C77" t="str">
        <v xml:space="preserve">RODRIGUEZ J. CARLOS </v>
      </c>
      <c r="D77">
        <v>57</v>
      </c>
      <c r="E77" t="str">
        <v>VENTURI</v>
      </c>
      <c r="F77" t="str">
        <v xml:space="preserve">RUPT MANG ROT </v>
      </c>
      <c r="G77" t="str">
        <v xml:space="preserve">ARPONES </v>
      </c>
      <c r="H77">
        <v>0</v>
      </c>
      <c r="I77" t="str">
        <v xml:space="preserve">INICIADO </v>
      </c>
      <c r="J77" t="str">
        <v xml:space="preserve">LA PAZ </v>
      </c>
      <c r="K77" t="str">
        <v xml:space="preserve">PROFE </v>
      </c>
      <c r="L77">
        <v>0</v>
      </c>
    </row>
    <row r="78" spans="2:12" x14ac:dyDescent="0.25">
      <c r="B78" s="20">
        <v>45035</v>
      </c>
      <c r="C78" t="str">
        <v xml:space="preserve">DUARTE RAMONA </v>
      </c>
      <c r="D78">
        <v>54</v>
      </c>
      <c r="E78" t="str">
        <v>VENTURI</v>
      </c>
      <c r="F78" t="str">
        <v xml:space="preserve">RUPT MANG ROT 2 ARPONES </v>
      </c>
      <c r="G78" t="str">
        <v>ARPONES</v>
      </c>
      <c r="H78">
        <v>0</v>
      </c>
      <c r="I78" t="str">
        <v>ACEPTADO</v>
      </c>
      <c r="J78" t="str">
        <v>PARANÁ</v>
      </c>
      <c r="K78" t="str">
        <v xml:space="preserve">PROFE </v>
      </c>
      <c r="L78">
        <v>0</v>
      </c>
    </row>
    <row r="79" spans="2:12" x14ac:dyDescent="0.25">
      <c r="B79" s="20">
        <v>45035</v>
      </c>
      <c r="C79" t="str">
        <v xml:space="preserve">MENDOZA JOSE </v>
      </c>
      <c r="D79">
        <v>51</v>
      </c>
      <c r="E79" t="str">
        <v xml:space="preserve">JACOB </v>
      </c>
      <c r="F79" t="str">
        <v xml:space="preserve">ESPNDIOLITESIS </v>
      </c>
      <c r="G79" t="str">
        <v xml:space="preserve">BARRA/PLIF/DRILL/TORN </v>
      </c>
      <c r="H79">
        <v>0</v>
      </c>
      <c r="I79" t="str">
        <v>INICIADO</v>
      </c>
      <c r="J79" t="str">
        <v xml:space="preserve">DIAMANTE </v>
      </c>
      <c r="K79" t="str">
        <v>S/M</v>
      </c>
      <c r="L79">
        <v>0</v>
      </c>
    </row>
    <row r="80" spans="2:12" x14ac:dyDescent="0.25">
      <c r="B80" s="20">
        <v>45035</v>
      </c>
      <c r="C80" t="str">
        <v xml:space="preserve">CUELLO ALEXANDER </v>
      </c>
      <c r="D80">
        <v>0</v>
      </c>
      <c r="E80" t="str">
        <v xml:space="preserve">JACOB </v>
      </c>
      <c r="F80" t="str">
        <v xml:space="preserve">ESPNDIOLITESIS </v>
      </c>
      <c r="G80" t="str">
        <v xml:space="preserve">BARRA/PLIF/DRILL/TORN </v>
      </c>
      <c r="H80">
        <v>0</v>
      </c>
      <c r="I80" t="str">
        <v>INICIADO</v>
      </c>
      <c r="J80" t="str">
        <v>PARANÁ</v>
      </c>
      <c r="K80" t="str">
        <v>S/M</v>
      </c>
      <c r="L80">
        <v>0</v>
      </c>
    </row>
    <row r="81" spans="2:12" x14ac:dyDescent="0.25">
      <c r="B81" s="20">
        <v>45036</v>
      </c>
      <c r="C81" t="str">
        <v xml:space="preserve">FERREYRA RODRIGO </v>
      </c>
      <c r="D81">
        <v>22</v>
      </c>
      <c r="E81" t="str">
        <v>YACOMO</v>
      </c>
      <c r="F81" t="str">
        <v xml:space="preserve">LCA </v>
      </c>
      <c r="G81" t="str">
        <v xml:space="preserve">TORN/BOTON </v>
      </c>
      <c r="H81">
        <v>0</v>
      </c>
      <c r="I81" t="str">
        <v>INICIADO</v>
      </c>
      <c r="J81" t="str">
        <v>PARANÁ</v>
      </c>
      <c r="K81" t="str">
        <v>S/M</v>
      </c>
      <c r="L81">
        <v>0</v>
      </c>
    </row>
    <row r="82" spans="2:12" x14ac:dyDescent="0.25">
      <c r="B82" s="20">
        <v>45036</v>
      </c>
      <c r="C82" t="str">
        <v xml:space="preserve">PORTORREAL ROSA </v>
      </c>
      <c r="D82">
        <v>85</v>
      </c>
      <c r="E82" t="str">
        <v>UCEDO</v>
      </c>
      <c r="F82" t="str">
        <v>GENU VARO</v>
      </c>
      <c r="G82" t="str">
        <v xml:space="preserve">TOR. HERBERT </v>
      </c>
      <c r="H82" t="str">
        <v xml:space="preserve">VILLALBA </v>
      </c>
      <c r="I82" t="str">
        <v>ACEPTADO</v>
      </c>
      <c r="J82" t="str">
        <v>PARANÁ</v>
      </c>
      <c r="K82" t="str">
        <v>PAMI</v>
      </c>
      <c r="L82">
        <v>0</v>
      </c>
    </row>
    <row r="83" spans="2:12" x14ac:dyDescent="0.25">
      <c r="B83" s="20">
        <v>45036</v>
      </c>
      <c r="C83" t="str">
        <v xml:space="preserve">PEREZ ELBA </v>
      </c>
      <c r="D83">
        <v>69</v>
      </c>
      <c r="E83" t="str">
        <v>MERLINI</v>
      </c>
      <c r="F83" t="str">
        <v>FX HUMERO</v>
      </c>
      <c r="G83" t="str">
        <v>PLACA PHILOS</v>
      </c>
      <c r="H83" t="str">
        <v>VILLALBA</v>
      </c>
      <c r="I83" t="str">
        <v>ACEPTADO</v>
      </c>
      <c r="J83" t="str">
        <v>PARANÁ</v>
      </c>
      <c r="K83" t="str">
        <v>PAMI</v>
      </c>
      <c r="L83">
        <v>0</v>
      </c>
    </row>
    <row r="84" spans="2:12" x14ac:dyDescent="0.25">
      <c r="B84" s="20">
        <v>45040</v>
      </c>
      <c r="C84" t="str">
        <v xml:space="preserve">COTDOBA DORA </v>
      </c>
      <c r="D84">
        <v>73</v>
      </c>
      <c r="E84" t="str">
        <v>MERLINI</v>
      </c>
      <c r="F84" t="str">
        <v xml:space="preserve">EXTR PROTESIS </v>
      </c>
      <c r="G84" t="str">
        <v>TUTOR EXTERNO</v>
      </c>
      <c r="H84" t="str">
        <v>VILLALBA</v>
      </c>
      <c r="I84" t="str">
        <v>ACEPTADO</v>
      </c>
      <c r="J84" t="str">
        <v>PARANÁ</v>
      </c>
      <c r="K84" t="str">
        <v>PAMI</v>
      </c>
      <c r="L84">
        <v>0</v>
      </c>
    </row>
    <row r="85" spans="2:12" x14ac:dyDescent="0.25">
      <c r="B85" s="20">
        <v>45040</v>
      </c>
      <c r="C85" t="str">
        <v xml:space="preserve">URQUIZA MARIA </v>
      </c>
      <c r="D85">
        <v>73</v>
      </c>
      <c r="E85" t="str">
        <v>MERLINI</v>
      </c>
      <c r="F85" t="str">
        <v>RUP MANG ROTA</v>
      </c>
      <c r="G85" t="str">
        <v xml:space="preserve">PROT HOMB. ARPONES </v>
      </c>
      <c r="H85" t="str">
        <v>VILLALBA</v>
      </c>
      <c r="I85" t="str">
        <v>ACEPTADO</v>
      </c>
      <c r="J85" t="str">
        <v>PARANÁ</v>
      </c>
      <c r="K85" t="str">
        <v>PAMI</v>
      </c>
      <c r="L85">
        <v>0</v>
      </c>
    </row>
    <row r="86" spans="2:12" x14ac:dyDescent="0.25">
      <c r="B86" s="20">
        <v>45040</v>
      </c>
      <c r="C86" t="str">
        <v xml:space="preserve">MICHELOUD AILIN </v>
      </c>
      <c r="D86">
        <v>23</v>
      </c>
      <c r="E86" t="str">
        <v>MERLINI</v>
      </c>
      <c r="F86" t="str">
        <v>FX HUMERO</v>
      </c>
      <c r="G86" t="str">
        <v>PLACA PHILOS</v>
      </c>
      <c r="H86">
        <v>0</v>
      </c>
      <c r="I86" t="str">
        <v>INICIADO</v>
      </c>
      <c r="J86" t="str">
        <v>PARANÁ</v>
      </c>
      <c r="K86" t="str">
        <v>S/M</v>
      </c>
      <c r="L86">
        <v>0</v>
      </c>
    </row>
    <row r="87" spans="2:12" x14ac:dyDescent="0.25">
      <c r="B87" s="20">
        <v>45041</v>
      </c>
      <c r="C87" t="str">
        <v>CARDOSO ANIBAL</v>
      </c>
      <c r="D87">
        <v>0</v>
      </c>
      <c r="E87" t="str">
        <v>GARCIA VITOR</v>
      </c>
      <c r="F87" t="str">
        <v>COXARTROSIS</v>
      </c>
      <c r="G87" t="str">
        <v>PTC CEMENTADA / COTILO</v>
      </c>
      <c r="H87" t="str">
        <v xml:space="preserve">IP MAGNA </v>
      </c>
      <c r="I87" t="str">
        <v>ACEPTADO</v>
      </c>
      <c r="J87" t="str">
        <v>PARANÁ</v>
      </c>
      <c r="K87" t="str">
        <v>PAMI</v>
      </c>
      <c r="L87">
        <v>0</v>
      </c>
    </row>
    <row r="88" spans="2:12" x14ac:dyDescent="0.25">
      <c r="B88" s="20">
        <v>45041</v>
      </c>
      <c r="C88" t="str">
        <v>VALDEZ  ANIBAL</v>
      </c>
      <c r="D88">
        <v>0</v>
      </c>
      <c r="E88" t="str">
        <v>GARCIA VITOR</v>
      </c>
      <c r="F88" t="str">
        <v>COXARTROSIS</v>
      </c>
      <c r="G88" t="str">
        <v>PTC CEMENTADA / COTILO</v>
      </c>
      <c r="H88" t="str">
        <v xml:space="preserve">IP MAGNA </v>
      </c>
      <c r="I88" t="str">
        <v>ACEPTADO</v>
      </c>
      <c r="J88" t="str">
        <v>PARANÁ</v>
      </c>
      <c r="K88" t="str">
        <v>PAMI</v>
      </c>
      <c r="L88">
        <v>0</v>
      </c>
    </row>
    <row r="89" spans="2:12" x14ac:dyDescent="0.25">
      <c r="B89" s="20">
        <v>45042</v>
      </c>
      <c r="C89" t="str">
        <v xml:space="preserve">RICKERT MERCEDES </v>
      </c>
      <c r="D89">
        <v>81</v>
      </c>
      <c r="E89" t="str">
        <v>MERLINI</v>
      </c>
      <c r="F89" t="str">
        <v>FX CADERA</v>
      </c>
      <c r="G89" t="str">
        <v>CLAVO GAMMA</v>
      </c>
      <c r="H89" t="str">
        <v xml:space="preserve">VILLALBA </v>
      </c>
      <c r="I89" t="str">
        <v>ACEPTADO</v>
      </c>
      <c r="J89" t="str">
        <v>PARANÁ</v>
      </c>
      <c r="K89" t="str">
        <v>PAMI</v>
      </c>
      <c r="L89">
        <v>0</v>
      </c>
    </row>
    <row r="90" spans="2:12" x14ac:dyDescent="0.25">
      <c r="B90" s="20">
        <v>45042</v>
      </c>
      <c r="C90" t="str">
        <v xml:space="preserve">FAIN MARIA </v>
      </c>
      <c r="D90">
        <v>63</v>
      </c>
      <c r="E90" t="str">
        <v>SUKSDORF</v>
      </c>
      <c r="F90" t="str">
        <v>GONARTROSIS</v>
      </c>
      <c r="G90" t="str">
        <v xml:space="preserve">PTR ANATOMICA </v>
      </c>
      <c r="H90" t="str">
        <v xml:space="preserve">IP MAGNA </v>
      </c>
      <c r="I90" t="str">
        <v>ACEPTADO</v>
      </c>
      <c r="J90" t="str">
        <v>PARANÁ</v>
      </c>
      <c r="K90" t="str">
        <v>PAMI</v>
      </c>
      <c r="L90">
        <v>0</v>
      </c>
    </row>
    <row r="91" spans="2:12" x14ac:dyDescent="0.25">
      <c r="B91" s="20">
        <v>45043</v>
      </c>
      <c r="C91" t="str">
        <v>AVILA EXEQUIEL</v>
      </c>
      <c r="D91">
        <v>16</v>
      </c>
      <c r="E91" t="str">
        <v>MERLINI</v>
      </c>
      <c r="F91" t="str">
        <v>FX ANTE BRAZO</v>
      </c>
      <c r="G91" t="str">
        <v>PLACA DCP/PLACA T.TUBO</v>
      </c>
      <c r="H91">
        <v>0</v>
      </c>
      <c r="I91" t="str">
        <v>INICIADO</v>
      </c>
      <c r="J91" t="str">
        <v>PARANÁ</v>
      </c>
      <c r="K91" t="str">
        <v>S/M</v>
      </c>
      <c r="L91">
        <v>0</v>
      </c>
    </row>
    <row r="92" spans="2:12" x14ac:dyDescent="0.25">
      <c r="B92" s="20">
        <v>45043</v>
      </c>
      <c r="C92" t="str">
        <v>ESPINDOLA LEONARDO</v>
      </c>
      <c r="D92">
        <v>0</v>
      </c>
      <c r="E92" t="str">
        <v>MERLINI</v>
      </c>
      <c r="F92">
        <v>0</v>
      </c>
      <c r="G92">
        <v>0</v>
      </c>
      <c r="H92">
        <v>0</v>
      </c>
      <c r="I92" t="str">
        <v>INICIADO</v>
      </c>
      <c r="J92" t="str">
        <v>PARANÁ</v>
      </c>
      <c r="K92" t="str">
        <v>S/M</v>
      </c>
      <c r="L92">
        <v>0</v>
      </c>
    </row>
    <row r="93" spans="2:12" x14ac:dyDescent="0.25">
      <c r="B93" s="20">
        <v>45043</v>
      </c>
      <c r="C93" t="str">
        <v>SANTILLAN ALFREDO</v>
      </c>
      <c r="D93">
        <v>0</v>
      </c>
      <c r="E93" t="str">
        <v xml:space="preserve">JACOB </v>
      </c>
      <c r="F93" t="str">
        <v>HERNIA DE DISCO</v>
      </c>
      <c r="G93" t="str">
        <v>CAGE/DRILL/SUST OSEO</v>
      </c>
      <c r="H93">
        <v>0</v>
      </c>
      <c r="I93" t="str">
        <v>INICIADO</v>
      </c>
      <c r="J93" t="str">
        <v>PARANÁ</v>
      </c>
      <c r="K93" t="str">
        <v>S/M</v>
      </c>
      <c r="L93">
        <v>0</v>
      </c>
    </row>
    <row r="94" spans="2:12" x14ac:dyDescent="0.25">
      <c r="B94" s="20">
        <v>45043</v>
      </c>
      <c r="C94" t="str">
        <v>MARDON ALVARO</v>
      </c>
      <c r="D94">
        <v>47</v>
      </c>
      <c r="E94" t="str">
        <v>STOPELLO</v>
      </c>
      <c r="F94" t="str">
        <v>GENU VARO</v>
      </c>
      <c r="G94" t="str">
        <v>PLACA PUDDU</v>
      </c>
      <c r="H94">
        <v>0</v>
      </c>
      <c r="I94" t="str">
        <v>INICIADO</v>
      </c>
      <c r="J94" t="str">
        <v>PARANÁ</v>
      </c>
      <c r="K94" t="str">
        <v>S/M</v>
      </c>
      <c r="L94">
        <v>0</v>
      </c>
    </row>
    <row r="95" spans="2:12" x14ac:dyDescent="0.25">
      <c r="B95" s="20">
        <v>45043</v>
      </c>
      <c r="C95" t="str">
        <v xml:space="preserve">RODRIGUEZ NORMA </v>
      </c>
      <c r="D95">
        <v>70</v>
      </c>
      <c r="E95" t="str">
        <v>MERLINI</v>
      </c>
      <c r="F95" t="str">
        <v>FX MUÑECA</v>
      </c>
      <c r="G95" t="str">
        <v>PLCA DOBLE/TERCIO TUBO</v>
      </c>
      <c r="H95" t="str">
        <v>VILLALBA</v>
      </c>
      <c r="I95" t="str">
        <v>ACEPTADO</v>
      </c>
      <c r="J95" t="str">
        <v>PARANÁ</v>
      </c>
      <c r="K95" t="str">
        <v>PAMI</v>
      </c>
      <c r="L95">
        <v>0</v>
      </c>
    </row>
    <row r="96" spans="2:12" x14ac:dyDescent="0.25">
      <c r="B96" s="20">
        <v>45044</v>
      </c>
      <c r="C96" t="str">
        <v>RLODRIGUEZ SANTIAGO</v>
      </c>
      <c r="D96">
        <v>16</v>
      </c>
      <c r="E96" t="str">
        <v xml:space="preserve">URANGA </v>
      </c>
      <c r="F96" t="str">
        <v xml:space="preserve">ESCOLIOSIS </v>
      </c>
      <c r="G96" t="str">
        <v xml:space="preserve">BARRA/PLIF/DRILL/TORN </v>
      </c>
      <c r="H96">
        <v>0</v>
      </c>
      <c r="I96" t="str">
        <v xml:space="preserve">INICIADO </v>
      </c>
      <c r="J96" t="str">
        <v>VILLAGUAY</v>
      </c>
      <c r="K96" t="str">
        <v>S/M</v>
      </c>
      <c r="L96">
        <v>0</v>
      </c>
    </row>
    <row r="97" spans="2:12" x14ac:dyDescent="0.25">
      <c r="B97" s="20">
        <v>45044</v>
      </c>
      <c r="C97" t="str">
        <v>RODRIGUEZ SANTIAGO</v>
      </c>
      <c r="D97">
        <v>16</v>
      </c>
      <c r="E97" t="str">
        <v xml:space="preserve">URANGA </v>
      </c>
      <c r="F97" t="str">
        <v xml:space="preserve">ESCOLIOSIS </v>
      </c>
      <c r="G97" t="str">
        <v xml:space="preserve">POT EVOC. MOTORES </v>
      </c>
      <c r="H97">
        <v>0</v>
      </c>
      <c r="I97" t="str">
        <v xml:space="preserve">INICIADO </v>
      </c>
      <c r="J97" t="str">
        <v>VILLAGUAY</v>
      </c>
      <c r="K97" t="str">
        <v>S/M</v>
      </c>
      <c r="L97">
        <v>0</v>
      </c>
    </row>
    <row r="98" spans="2:12" x14ac:dyDescent="0.25">
      <c r="B98" s="20">
        <v>45045</v>
      </c>
      <c r="C98" t="str">
        <v xml:space="preserve">SEGOVIA MARIA </v>
      </c>
      <c r="D98">
        <v>26</v>
      </c>
      <c r="E98" t="str">
        <v>CATRIEL GODOY</v>
      </c>
      <c r="F98" t="str">
        <v xml:space="preserve">RUP LCA </v>
      </c>
      <c r="G98" t="str">
        <v>TORN.INTERF./BOTON</v>
      </c>
      <c r="H98">
        <v>0</v>
      </c>
      <c r="I98" t="str">
        <v>ACEPTADO</v>
      </c>
      <c r="J98" t="str">
        <v>PARANÁ</v>
      </c>
      <c r="K98" t="str">
        <v>S/M</v>
      </c>
      <c r="L98">
        <v>0</v>
      </c>
    </row>
    <row r="99" spans="2:12" x14ac:dyDescent="0.25">
      <c r="B99" s="20">
        <v>45049</v>
      </c>
      <c r="C99" t="str">
        <v xml:space="preserve">MARTINEZ STELLA </v>
      </c>
      <c r="D99">
        <v>70</v>
      </c>
      <c r="E99" t="str">
        <v>MERLINI</v>
      </c>
      <c r="F99" t="str">
        <v xml:space="preserve">FX MUÑECA </v>
      </c>
      <c r="G99" t="str">
        <v xml:space="preserve">PLACA DOBLE H. DISTAL </v>
      </c>
      <c r="H99" t="str">
        <v xml:space="preserve">VILLALBA </v>
      </c>
      <c r="I99" t="str">
        <v>ACEPTADO</v>
      </c>
      <c r="J99" t="str">
        <v>PARANÁ</v>
      </c>
      <c r="K99" t="str">
        <v>PAMI</v>
      </c>
      <c r="L99">
        <v>0</v>
      </c>
    </row>
    <row r="100" spans="2:12" x14ac:dyDescent="0.25">
      <c r="B100" s="20">
        <v>45049</v>
      </c>
      <c r="C100" t="str">
        <v xml:space="preserve">KUNZI L SEBASTIAN </v>
      </c>
      <c r="D100">
        <v>73</v>
      </c>
      <c r="E100" t="str">
        <v>GARCIA VITOR</v>
      </c>
      <c r="F100" t="str">
        <v>COXARTROSIS</v>
      </c>
      <c r="G100" t="str">
        <v>PTC CEMENTADA / COTILO</v>
      </c>
      <c r="H100" t="str">
        <v>VILLALBA</v>
      </c>
      <c r="I100" t="str">
        <v>ACEPTADO</v>
      </c>
      <c r="J100" t="str">
        <v>PARANÁ</v>
      </c>
      <c r="K100" t="str">
        <v>PAMI</v>
      </c>
      <c r="L100">
        <v>0</v>
      </c>
    </row>
    <row r="101" spans="2:12" x14ac:dyDescent="0.25">
      <c r="B101" s="20">
        <v>45049</v>
      </c>
      <c r="C101" t="str">
        <v xml:space="preserve">DE ANGELI ANGEL LUIS </v>
      </c>
      <c r="D101">
        <v>76</v>
      </c>
      <c r="E101" t="str">
        <v>GARCIA VITOR</v>
      </c>
      <c r="F101" t="str">
        <v xml:space="preserve">FX CADERA </v>
      </c>
      <c r="G101" t="str">
        <v xml:space="preserve">CLAVO GAMMA </v>
      </c>
      <c r="H101" t="str">
        <v xml:space="preserve">VILLALBA </v>
      </c>
      <c r="I101" t="str">
        <v>ACEPTADO</v>
      </c>
      <c r="J101" t="str">
        <v xml:space="preserve">VIALE </v>
      </c>
      <c r="K101" t="str">
        <v>PAMI</v>
      </c>
      <c r="L101">
        <v>0</v>
      </c>
    </row>
    <row r="102" spans="2:12" x14ac:dyDescent="0.25">
      <c r="B102" s="20">
        <v>45049</v>
      </c>
      <c r="C102" t="str">
        <v xml:space="preserve">BUSULARI RAFAEL </v>
      </c>
      <c r="D102">
        <v>54</v>
      </c>
      <c r="E102" t="str">
        <v xml:space="preserve">HERMIDA </v>
      </c>
      <c r="F102" t="str">
        <v>COXARTROSIS</v>
      </c>
      <c r="G102" t="str">
        <v>PTC NO CEMENT</v>
      </c>
      <c r="H102">
        <v>0</v>
      </c>
      <c r="I102" t="str">
        <v>INICIADO</v>
      </c>
      <c r="J102" t="str">
        <v>HASENKAMP</v>
      </c>
      <c r="K102" t="str">
        <v>S/M</v>
      </c>
      <c r="L102">
        <v>0</v>
      </c>
    </row>
    <row r="103" spans="2:12" x14ac:dyDescent="0.25">
      <c r="B103" s="20">
        <v>45049</v>
      </c>
      <c r="C103" t="str">
        <v>BENITEZ NANCY</v>
      </c>
      <c r="D103">
        <v>52</v>
      </c>
      <c r="E103" t="str">
        <v>SUKSDORF</v>
      </c>
      <c r="F103" t="str">
        <v xml:space="preserve">LCA </v>
      </c>
      <c r="G103" t="str">
        <v xml:space="preserve">TORNILLOS /BOTON </v>
      </c>
      <c r="H103">
        <v>0</v>
      </c>
      <c r="I103" t="str">
        <v>ACEPTADO</v>
      </c>
      <c r="J103" t="str">
        <v>GUALEGUAY</v>
      </c>
      <c r="K103" t="str">
        <v>S/M</v>
      </c>
      <c r="L103">
        <v>0</v>
      </c>
    </row>
    <row r="104" spans="2:12" x14ac:dyDescent="0.25">
      <c r="B104" s="20">
        <v>45049</v>
      </c>
      <c r="C104" t="str">
        <v xml:space="preserve">SALUZZIO ANGELA M. CRISTINA </v>
      </c>
      <c r="D104">
        <v>74</v>
      </c>
      <c r="E104" t="str">
        <v>COLLOMB</v>
      </c>
      <c r="F104">
        <v>0</v>
      </c>
      <c r="G104" t="str">
        <v>PTC CEMENTADA / COTILO</v>
      </c>
      <c r="H104" t="str">
        <v>VILLALBA</v>
      </c>
      <c r="I104" t="str">
        <v>ACEPTADO</v>
      </c>
      <c r="J104" t="str">
        <v>PARANÁ</v>
      </c>
      <c r="K104" t="str">
        <v>PAMI</v>
      </c>
      <c r="L104">
        <v>4</v>
      </c>
    </row>
    <row r="105" spans="2:12" x14ac:dyDescent="0.25">
      <c r="B105" s="20">
        <v>45050</v>
      </c>
      <c r="C105" t="str">
        <v xml:space="preserve">MAYDANA LUIS </v>
      </c>
      <c r="D105">
        <v>67</v>
      </c>
      <c r="E105" t="str">
        <v>CESAR MEYNET</v>
      </c>
      <c r="F105" t="str">
        <v>COXARTROSIS</v>
      </c>
      <c r="G105" t="str">
        <v>PTC CEMENTADA / COTILO</v>
      </c>
      <c r="H105">
        <v>0</v>
      </c>
      <c r="I105" t="str">
        <v>ACEPTADO</v>
      </c>
      <c r="J105" t="str">
        <v>PARANÁ</v>
      </c>
      <c r="K105" t="str">
        <v>S/M</v>
      </c>
      <c r="L105">
        <v>0</v>
      </c>
    </row>
    <row r="106" spans="2:12" x14ac:dyDescent="0.25">
      <c r="B106" s="20">
        <v>45051</v>
      </c>
      <c r="C106" t="str">
        <v>MOREYRA GUSTAVO</v>
      </c>
      <c r="D106">
        <v>33</v>
      </c>
      <c r="E106" t="str">
        <v>GARCIA VITOR</v>
      </c>
      <c r="F106" t="str">
        <v>SEUA.INFEC</v>
      </c>
      <c r="G106" t="str">
        <v>CLAVO CEMENTADO</v>
      </c>
      <c r="H106">
        <v>0</v>
      </c>
      <c r="I106" t="str">
        <v>ACEPTADO</v>
      </c>
      <c r="J106" t="str">
        <v>PARANÁ</v>
      </c>
      <c r="K106" t="str">
        <v>S/M</v>
      </c>
      <c r="L106">
        <v>0</v>
      </c>
    </row>
    <row r="107" spans="2:12" x14ac:dyDescent="0.25">
      <c r="B107" s="20">
        <v>45051</v>
      </c>
      <c r="C107" t="str">
        <v xml:space="preserve">DE LOS SANTOS M DEL CARMEN </v>
      </c>
      <c r="D107">
        <v>68</v>
      </c>
      <c r="E107" t="str">
        <v>GARCIA VITOR</v>
      </c>
      <c r="F107" t="str">
        <v>GONARTROSIS</v>
      </c>
      <c r="G107" t="str">
        <v xml:space="preserve">RTR ANATOMICA </v>
      </c>
      <c r="H107" t="str">
        <v xml:space="preserve">IP MAGNA </v>
      </c>
      <c r="I107" t="str">
        <v>ACEPTADO</v>
      </c>
      <c r="J107" t="str">
        <v>GRAL RAMIREZ</v>
      </c>
      <c r="K107" t="str">
        <v>PAMI</v>
      </c>
      <c r="L107">
        <v>0</v>
      </c>
    </row>
    <row r="108" spans="2:12" x14ac:dyDescent="0.25">
      <c r="B108" s="20">
        <v>45051</v>
      </c>
      <c r="C108" t="str">
        <v xml:space="preserve">JUNCOS HECTOR </v>
      </c>
      <c r="D108">
        <v>70</v>
      </c>
      <c r="E108" t="str">
        <v>GARCIA VITOR</v>
      </c>
      <c r="F108" t="str">
        <v>GENU VARO IZQ</v>
      </c>
      <c r="G108" t="str">
        <v xml:space="preserve">PRP CON VASTY CUÑAS </v>
      </c>
      <c r="H108" t="str">
        <v xml:space="preserve">IP MAGNA </v>
      </c>
      <c r="I108" t="str">
        <v>ACEPTADO</v>
      </c>
      <c r="J108" t="str">
        <v>PARANÁ</v>
      </c>
      <c r="K108" t="str">
        <v>PAMI</v>
      </c>
      <c r="L108">
        <v>0</v>
      </c>
    </row>
    <row r="109" spans="2:12" x14ac:dyDescent="0.25">
      <c r="B109" s="20">
        <v>45051</v>
      </c>
      <c r="C109" t="str">
        <v xml:space="preserve">JUNCOS HECTOR </v>
      </c>
      <c r="D109">
        <v>70</v>
      </c>
      <c r="E109" t="str">
        <v>GARCIA VITOR</v>
      </c>
      <c r="F109" t="str">
        <v>GENU VARO DER</v>
      </c>
      <c r="G109" t="str">
        <v xml:space="preserve">PRP CON VASTY CUÑAS </v>
      </c>
      <c r="H109" t="str">
        <v xml:space="preserve">IP MAGNA </v>
      </c>
      <c r="I109" t="str">
        <v>ACEPTADO</v>
      </c>
      <c r="J109" t="str">
        <v>PARANÁ</v>
      </c>
      <c r="K109" t="str">
        <v>PAMI</v>
      </c>
      <c r="L109">
        <v>0</v>
      </c>
    </row>
    <row r="110" spans="2:12" x14ac:dyDescent="0.25">
      <c r="B110" s="20">
        <v>45051</v>
      </c>
      <c r="C110" t="str">
        <v>FONTANA HUMBERTO</v>
      </c>
      <c r="D110">
        <v>66</v>
      </c>
      <c r="E110" t="str">
        <v>COLLOMB</v>
      </c>
      <c r="F110" t="str">
        <v>FX TOBILLO IZQ</v>
      </c>
      <c r="G110" t="str">
        <v>PLACA TERCI TUBO</v>
      </c>
      <c r="H110" t="str">
        <v xml:space="preserve">VILLALBA </v>
      </c>
      <c r="I110" t="str">
        <v>ACEPTADO</v>
      </c>
      <c r="J110" t="str">
        <v>PARANÁ</v>
      </c>
      <c r="K110" t="str">
        <v>PAMI</v>
      </c>
      <c r="L110">
        <v>0</v>
      </c>
    </row>
    <row r="111" spans="2:12" x14ac:dyDescent="0.25">
      <c r="B111" s="20">
        <v>45054</v>
      </c>
      <c r="C111" t="str">
        <v xml:space="preserve">PENAU ROSA ESTER </v>
      </c>
      <c r="D111">
        <v>64</v>
      </c>
      <c r="E111" t="str">
        <v>UCEDO</v>
      </c>
      <c r="F111" t="str">
        <v>FX CADERA</v>
      </c>
      <c r="G111" t="str">
        <v>CLAVO GAMMA</v>
      </c>
      <c r="H111" t="str">
        <v>VILLALBA</v>
      </c>
      <c r="I111" t="str">
        <v>ACEPTADO</v>
      </c>
      <c r="J111" t="str">
        <v>PARANÁ</v>
      </c>
      <c r="K111" t="str">
        <v>PAMI</v>
      </c>
      <c r="L111">
        <v>0</v>
      </c>
    </row>
    <row r="112" spans="2:12" x14ac:dyDescent="0.25">
      <c r="B112" s="20">
        <v>45054</v>
      </c>
      <c r="C112" t="str">
        <v>BARBOZA ABRIL</v>
      </c>
      <c r="D112">
        <v>17</v>
      </c>
      <c r="E112" t="str">
        <v>UCEDO</v>
      </c>
      <c r="F112" t="str">
        <v>FX CALCANEO</v>
      </c>
      <c r="G112" t="str">
        <v xml:space="preserve">PLACA LAMBDA </v>
      </c>
      <c r="H112">
        <v>0</v>
      </c>
      <c r="I112" t="str">
        <v>INICIADO</v>
      </c>
      <c r="J112" t="str">
        <v>PARANÁ</v>
      </c>
      <c r="K112" t="str">
        <v>S/M</v>
      </c>
      <c r="L112">
        <v>0</v>
      </c>
    </row>
    <row r="113" spans="2:12" x14ac:dyDescent="0.25">
      <c r="B113" s="20">
        <v>45054</v>
      </c>
      <c r="C113" t="str">
        <v>MANZANO EDUARDO</v>
      </c>
      <c r="D113">
        <v>67</v>
      </c>
      <c r="E113" t="str">
        <v>UCEDO</v>
      </c>
      <c r="F113" t="str">
        <v xml:space="preserve">FX TIBIA Y PERONE </v>
      </c>
      <c r="G113" t="str">
        <v>PLACA TERCI TUBO/CLAVO</v>
      </c>
      <c r="H113" t="str">
        <v xml:space="preserve">VILLALBA </v>
      </c>
      <c r="I113" t="str">
        <v>ACEPTADO</v>
      </c>
      <c r="J113" t="str">
        <v xml:space="preserve">MARIA GRANDE </v>
      </c>
      <c r="K113" t="str">
        <v>PAMI</v>
      </c>
      <c r="L113">
        <v>0</v>
      </c>
    </row>
    <row r="114" spans="2:12" x14ac:dyDescent="0.25">
      <c r="B114" s="20">
        <v>45054</v>
      </c>
      <c r="C114" t="str">
        <v xml:space="preserve">GAITAN SEBASTIAN </v>
      </c>
      <c r="D114">
        <v>43</v>
      </c>
      <c r="E114" t="str">
        <v>CATRIEL GODOY</v>
      </c>
      <c r="F114" t="str">
        <v>RUP. LCA</v>
      </c>
      <c r="G114" t="str">
        <v xml:space="preserve">TORN/BOTON </v>
      </c>
      <c r="H114">
        <v>0</v>
      </c>
      <c r="I114" t="str">
        <v>ACEPTADO</v>
      </c>
      <c r="J114" t="str">
        <v>LUCAS GONZALEZ</v>
      </c>
      <c r="K114" t="str">
        <v>S/M</v>
      </c>
      <c r="L114">
        <v>0</v>
      </c>
    </row>
    <row r="115" spans="2:12" x14ac:dyDescent="0.25">
      <c r="B115" s="20">
        <v>45056</v>
      </c>
      <c r="C115" t="str">
        <v xml:space="preserve">ORCELLET MARTA IRMA </v>
      </c>
      <c r="D115">
        <v>80</v>
      </c>
      <c r="E115" t="str">
        <v>MERLINI</v>
      </c>
      <c r="F115" t="str">
        <v>FC HOMBRO</v>
      </c>
      <c r="G115" t="str">
        <v>P.PHILOS/P.HOMBRO</v>
      </c>
      <c r="H115" t="str">
        <v>VILLALBA</v>
      </c>
      <c r="I115" t="str">
        <v>ACEPTADO</v>
      </c>
      <c r="J115" t="str">
        <v>PARANÁ</v>
      </c>
      <c r="K115" t="str">
        <v>PAMI</v>
      </c>
      <c r="L115">
        <v>0</v>
      </c>
    </row>
    <row r="116" spans="2:12" x14ac:dyDescent="0.25">
      <c r="B116" s="20">
        <v>45056</v>
      </c>
      <c r="C116" t="str">
        <v xml:space="preserve">MONTENEGRO TERESA </v>
      </c>
      <c r="D116">
        <v>73</v>
      </c>
      <c r="E116" t="str">
        <v>VENTURI</v>
      </c>
      <c r="F116" t="str">
        <v>GONARTROSIS</v>
      </c>
      <c r="G116" t="str">
        <v xml:space="preserve">RTR ANATOMICA </v>
      </c>
      <c r="H116" t="str">
        <v>VILLALBA</v>
      </c>
      <c r="I116" t="str">
        <v>ACEPTADO</v>
      </c>
      <c r="J116" t="str">
        <v>PARANÁ</v>
      </c>
      <c r="K116" t="str">
        <v>PAMI</v>
      </c>
      <c r="L116">
        <v>0</v>
      </c>
    </row>
    <row r="117" spans="2:12" x14ac:dyDescent="0.25">
      <c r="B117" s="20">
        <v>45056</v>
      </c>
      <c r="C117" t="str">
        <v xml:space="preserve">VILLAVERDE ALICIA </v>
      </c>
      <c r="D117">
        <v>68</v>
      </c>
      <c r="E117" t="str">
        <v>UCEDO</v>
      </c>
      <c r="F117" t="str">
        <v xml:space="preserve">HALLUX VALGUS </v>
      </c>
      <c r="G117" t="str">
        <v>TORN  HERBERT</v>
      </c>
      <c r="H117" t="str">
        <v xml:space="preserve">VILLALBA </v>
      </c>
      <c r="I117" t="str">
        <v>ACEPTADO</v>
      </c>
      <c r="J117" t="str">
        <v>PARANÁ</v>
      </c>
      <c r="K117" t="str">
        <v>PAMI</v>
      </c>
      <c r="L117">
        <v>0</v>
      </c>
    </row>
    <row r="118" spans="2:12" x14ac:dyDescent="0.25">
      <c r="B118" s="20">
        <v>45056</v>
      </c>
      <c r="C118" t="str">
        <v xml:space="preserve">ACOSTA VICTORIA </v>
      </c>
      <c r="D118">
        <v>72</v>
      </c>
      <c r="E118" t="str">
        <v>MERLINI</v>
      </c>
      <c r="F118" t="str">
        <v>FX CODO</v>
      </c>
      <c r="G118" t="str">
        <v xml:space="preserve">P. CUP. RADIAL </v>
      </c>
      <c r="H118" t="str">
        <v xml:space="preserve">VILLALBA </v>
      </c>
      <c r="I118" t="str">
        <v>ACEPTADO</v>
      </c>
      <c r="J118" t="str">
        <v>PARANÁ</v>
      </c>
      <c r="K118" t="str">
        <v>PAMI</v>
      </c>
      <c r="L118">
        <v>0</v>
      </c>
    </row>
    <row r="119" spans="2:12" x14ac:dyDescent="0.25">
      <c r="B119" s="20">
        <v>45056</v>
      </c>
      <c r="C119" t="str">
        <v xml:space="preserve">PEREZ STELLA </v>
      </c>
      <c r="D119">
        <v>40</v>
      </c>
      <c r="E119" t="str">
        <v xml:space="preserve">JACOB </v>
      </c>
      <c r="F119" t="str">
        <v xml:space="preserve">ESPONDILITESIS </v>
      </c>
      <c r="G119" t="str">
        <v>TORNI/CAGE/DRILL</v>
      </c>
      <c r="H119">
        <v>0</v>
      </c>
      <c r="I119" t="str">
        <v>ACEPTADO</v>
      </c>
      <c r="J119" t="str">
        <v>PARANÁ</v>
      </c>
      <c r="K119" t="str">
        <v>S/M</v>
      </c>
      <c r="L119">
        <v>0</v>
      </c>
    </row>
    <row r="120" spans="2:12" x14ac:dyDescent="0.25">
      <c r="B120" s="20">
        <v>45057</v>
      </c>
      <c r="C120" t="str">
        <v>BATTAGLIERO ERNESTO</v>
      </c>
      <c r="D120">
        <v>62</v>
      </c>
      <c r="E120" t="str">
        <v>SAPETTI</v>
      </c>
      <c r="F120" t="str">
        <v>GONARTROSIS</v>
      </c>
      <c r="G120" t="str">
        <v xml:space="preserve">PTR ANATOMICA </v>
      </c>
      <c r="H120" t="str">
        <v xml:space="preserve">IP MAGNA </v>
      </c>
      <c r="I120" t="str">
        <v>ACEPTADO</v>
      </c>
      <c r="J120" t="str">
        <v>PARANÁ</v>
      </c>
      <c r="K120" t="str">
        <v>PAMI</v>
      </c>
      <c r="L120">
        <v>0</v>
      </c>
    </row>
    <row r="121" spans="2:12" x14ac:dyDescent="0.25">
      <c r="B121" s="20">
        <v>45057</v>
      </c>
      <c r="C121" t="str">
        <v xml:space="preserve">VAZQUEZ MIGUEL </v>
      </c>
      <c r="D121">
        <v>60</v>
      </c>
      <c r="E121" t="str">
        <v>STOPELLO</v>
      </c>
      <c r="F121" t="str">
        <v>GONARTROSIS</v>
      </c>
      <c r="G121" t="str">
        <v xml:space="preserve">PTR ANATOMICA </v>
      </c>
      <c r="H121" t="str">
        <v xml:space="preserve">IP MAGNA </v>
      </c>
      <c r="I121" t="str">
        <v>ACEPTADO</v>
      </c>
      <c r="J121" t="str">
        <v>PARANÁ</v>
      </c>
      <c r="K121" t="str">
        <v>PAMI</v>
      </c>
      <c r="L121">
        <v>0</v>
      </c>
    </row>
    <row r="122" spans="2:12" x14ac:dyDescent="0.25">
      <c r="B122" s="20">
        <v>45057</v>
      </c>
      <c r="C122" t="str">
        <v>MOREYRA EMILIO</v>
      </c>
      <c r="D122">
        <v>63</v>
      </c>
      <c r="E122" t="str">
        <v>GARCIA VITOR</v>
      </c>
      <c r="F122" t="str">
        <v>GONARTROSIS</v>
      </c>
      <c r="G122" t="str">
        <v xml:space="preserve">PTR ANATOMICA </v>
      </c>
      <c r="H122" t="str">
        <v xml:space="preserve">IP MAGNA </v>
      </c>
      <c r="I122" t="str">
        <v>ACEPTADO</v>
      </c>
      <c r="J122" t="str">
        <v>PARANÁ</v>
      </c>
      <c r="K122" t="str">
        <v>PAMI</v>
      </c>
      <c r="L122">
        <v>0</v>
      </c>
    </row>
    <row r="123" spans="2:12" x14ac:dyDescent="0.25">
      <c r="B123" s="20">
        <v>45061</v>
      </c>
      <c r="C123" t="str">
        <v>CORIA JORGE ANSELMO</v>
      </c>
      <c r="D123">
        <v>64</v>
      </c>
      <c r="E123" t="str">
        <v>GARCIA VITOR</v>
      </c>
      <c r="F123" t="str">
        <v xml:space="preserve">FX PLATILLO </v>
      </c>
      <c r="G123" t="str">
        <v>PLACA T Y L</v>
      </c>
      <c r="H123" t="str">
        <v xml:space="preserve">VILLALBA </v>
      </c>
      <c r="I123" t="str">
        <v>ACEPTADO</v>
      </c>
      <c r="J123" t="str">
        <v>PARANÁ</v>
      </c>
      <c r="K123" t="str">
        <v>PAMI</v>
      </c>
      <c r="L123">
        <v>0</v>
      </c>
    </row>
    <row r="124" spans="2:12" x14ac:dyDescent="0.25">
      <c r="B124" s="20">
        <v>45061</v>
      </c>
      <c r="C124" t="str">
        <v xml:space="preserve">MARIZZA HECTOR LUIS </v>
      </c>
      <c r="D124">
        <v>74</v>
      </c>
      <c r="E124">
        <v>0</v>
      </c>
      <c r="F124">
        <v>0</v>
      </c>
      <c r="G124">
        <v>0</v>
      </c>
      <c r="H124" t="str">
        <v xml:space="preserve">VILLALBA </v>
      </c>
      <c r="I124" t="str">
        <v>RECHAZADO</v>
      </c>
      <c r="J124" t="str">
        <v>PARANÁ</v>
      </c>
      <c r="K124" t="str">
        <v>PAMI</v>
      </c>
      <c r="L124">
        <v>0</v>
      </c>
    </row>
    <row r="125" spans="2:12" x14ac:dyDescent="0.25">
      <c r="B125" s="20">
        <v>45061</v>
      </c>
      <c r="C125" t="str">
        <v xml:space="preserve">PORTORREAL ROSA </v>
      </c>
      <c r="D125">
        <v>85</v>
      </c>
      <c r="E125" t="str">
        <v>MERLINI</v>
      </c>
      <c r="F125" t="str">
        <v>FX TOBILLO</v>
      </c>
      <c r="G125" t="str">
        <v>PLACA TERCIO TUBO</v>
      </c>
      <c r="H125" t="str">
        <v xml:space="preserve">VILLALVA </v>
      </c>
      <c r="I125" t="str">
        <v>ACEPTADO</v>
      </c>
      <c r="J125" t="str">
        <v>PARANÁ</v>
      </c>
      <c r="K125" t="str">
        <v>PAMI</v>
      </c>
      <c r="L125">
        <v>0</v>
      </c>
    </row>
    <row r="126" spans="2:12" x14ac:dyDescent="0.25">
      <c r="B126" s="20">
        <v>45061</v>
      </c>
      <c r="C126" t="str">
        <v xml:space="preserve">VILLAVERDE MATIAS </v>
      </c>
      <c r="D126">
        <v>40</v>
      </c>
      <c r="E126" t="str">
        <v>MERLINI</v>
      </c>
      <c r="F126" t="str">
        <v>FX MUÑECA</v>
      </c>
      <c r="G126" t="str">
        <v>PLCA DOBLE/TERCIO TUBO</v>
      </c>
      <c r="H126">
        <v>0</v>
      </c>
      <c r="I126" t="str">
        <v>ACEPTADO</v>
      </c>
      <c r="J126" t="str">
        <v>PARANÁ</v>
      </c>
      <c r="K126" t="str">
        <v>S/M</v>
      </c>
      <c r="L126">
        <v>0</v>
      </c>
    </row>
    <row r="127" spans="2:12" x14ac:dyDescent="0.25">
      <c r="B127" s="20">
        <v>45062</v>
      </c>
      <c r="C127" t="str">
        <v xml:space="preserve">buschiazzo j carlos </v>
      </c>
      <c r="D127">
        <v>52</v>
      </c>
      <c r="E127" t="str">
        <v>sapetti</v>
      </c>
      <c r="F127" t="str">
        <v xml:space="preserve">artrosis bilateral </v>
      </c>
      <c r="G127" t="str">
        <v xml:space="preserve">RTR ANATOMICA </v>
      </c>
      <c r="H127">
        <v>0</v>
      </c>
      <c r="I127" t="str">
        <v>ACEPTADO</v>
      </c>
      <c r="J127" t="str">
        <v xml:space="preserve">DIAMANTE </v>
      </c>
      <c r="K127" t="str">
        <v>S/M</v>
      </c>
      <c r="L127">
        <v>0</v>
      </c>
    </row>
    <row r="128" spans="2:12" x14ac:dyDescent="0.25">
      <c r="B128" s="20">
        <v>45062</v>
      </c>
      <c r="C128" t="str">
        <v xml:space="preserve">QUIROZ MAIRA </v>
      </c>
      <c r="D128">
        <v>27</v>
      </c>
      <c r="E128" t="str">
        <v>MERLINI</v>
      </c>
      <c r="F128" t="str">
        <v>FX TOBILLO</v>
      </c>
      <c r="G128" t="str">
        <v>PLACA TERCIO TUBO</v>
      </c>
      <c r="H128">
        <v>0</v>
      </c>
      <c r="I128" t="str">
        <v>ACEPTADO</v>
      </c>
      <c r="J128" t="str">
        <v>PARANÁ</v>
      </c>
      <c r="K128" t="str">
        <v>S/M</v>
      </c>
      <c r="L128">
        <v>0</v>
      </c>
    </row>
    <row r="129" spans="2:12" x14ac:dyDescent="0.25">
      <c r="B129" s="20">
        <v>45062</v>
      </c>
      <c r="C129" t="str">
        <v xml:space="preserve">MENDOZA NORATA </v>
      </c>
      <c r="D129">
        <v>87</v>
      </c>
      <c r="E129" t="str">
        <v>MERLINI</v>
      </c>
      <c r="F129" t="str">
        <v xml:space="preserve">FX CADERA </v>
      </c>
      <c r="G129" t="str">
        <v xml:space="preserve">CLAVO GAMMA </v>
      </c>
      <c r="H129" t="str">
        <v xml:space="preserve">VILLALBA </v>
      </c>
      <c r="I129" t="str">
        <v>ACEPTADO</v>
      </c>
      <c r="J129" t="str">
        <v>PARANÁ</v>
      </c>
      <c r="K129" t="str">
        <v>PAMI</v>
      </c>
      <c r="L129">
        <v>0</v>
      </c>
    </row>
    <row r="130" spans="2:12" x14ac:dyDescent="0.25">
      <c r="B130" s="20">
        <v>45062</v>
      </c>
      <c r="C130" t="str">
        <v xml:space="preserve">GERMANO CARMELA </v>
      </c>
      <c r="D130">
        <v>92</v>
      </c>
      <c r="E130" t="str">
        <v>MERLINI</v>
      </c>
      <c r="F130" t="str">
        <v xml:space="preserve">FX CADERA </v>
      </c>
      <c r="G130" t="str">
        <v>CLAVO DHS</v>
      </c>
      <c r="H130" t="str">
        <v xml:space="preserve">VILLALBA </v>
      </c>
      <c r="I130" t="str">
        <v>ACEPTADO</v>
      </c>
      <c r="J130" t="str">
        <v>PARANÁ</v>
      </c>
      <c r="K130" t="str">
        <v>PAMI</v>
      </c>
      <c r="L130">
        <v>0</v>
      </c>
    </row>
    <row r="131" spans="2:12" x14ac:dyDescent="0.25">
      <c r="B131" s="20">
        <v>45062</v>
      </c>
      <c r="C131" t="str">
        <v>IRIARTE MAURO</v>
      </c>
      <c r="D131">
        <v>41</v>
      </c>
      <c r="E131" t="str">
        <v>MERLINI</v>
      </c>
      <c r="F131" t="str">
        <v>FX TOBILLO</v>
      </c>
      <c r="G131" t="str">
        <v xml:space="preserve">PLACA TERCIO TUBO </v>
      </c>
      <c r="H131">
        <v>0</v>
      </c>
      <c r="I131" t="str">
        <v>ACEPTADO</v>
      </c>
      <c r="J131" t="str">
        <v>PARANÁ</v>
      </c>
      <c r="K131" t="str">
        <v>S/M</v>
      </c>
      <c r="L131">
        <v>0</v>
      </c>
    </row>
    <row r="132" spans="2:12" x14ac:dyDescent="0.25">
      <c r="B132" s="20">
        <v>45064</v>
      </c>
      <c r="C132" t="str">
        <v xml:space="preserve">LOPEZ CLAUDIO </v>
      </c>
      <c r="D132">
        <v>49</v>
      </c>
      <c r="E132" t="str">
        <v>GARCIA VITOR</v>
      </c>
      <c r="F132" t="str">
        <v>NOA</v>
      </c>
      <c r="G132" t="str">
        <v>PTC NO CEMENT</v>
      </c>
      <c r="H132">
        <v>0</v>
      </c>
      <c r="I132" t="str">
        <v>ACEPTADO</v>
      </c>
      <c r="J132" t="str">
        <v>PARANÁ</v>
      </c>
      <c r="K132" t="str">
        <v>S/M</v>
      </c>
      <c r="L132">
        <v>0</v>
      </c>
    </row>
    <row r="133" spans="2:12" x14ac:dyDescent="0.25">
      <c r="B133" s="20">
        <v>45064</v>
      </c>
      <c r="C133" t="str">
        <v xml:space="preserve">LUNA RAMON </v>
      </c>
      <c r="D133">
        <v>0</v>
      </c>
      <c r="E133">
        <v>0</v>
      </c>
      <c r="F133">
        <v>0</v>
      </c>
      <c r="G133">
        <v>0</v>
      </c>
      <c r="H133">
        <v>0</v>
      </c>
      <c r="I133" t="str">
        <v>ACEPTADO</v>
      </c>
      <c r="J133" t="str">
        <v>BOVRIL</v>
      </c>
      <c r="K133" t="str">
        <v>S/M</v>
      </c>
      <c r="L133">
        <v>0</v>
      </c>
    </row>
    <row r="134" spans="2:12" x14ac:dyDescent="0.25">
      <c r="B134" s="20">
        <v>45064</v>
      </c>
      <c r="C134" t="str">
        <v xml:space="preserve">OLIVETTI PRISCILA </v>
      </c>
      <c r="D134">
        <v>17</v>
      </c>
      <c r="E134">
        <v>0</v>
      </c>
      <c r="F134" t="str">
        <v>NOA</v>
      </c>
      <c r="G134" t="str">
        <v>PTC NO CEMENT</v>
      </c>
      <c r="H134">
        <v>0</v>
      </c>
      <c r="I134" t="str">
        <v>ACEPTADO</v>
      </c>
      <c r="J134" t="str">
        <v xml:space="preserve">CONCORDIA </v>
      </c>
      <c r="K134" t="str">
        <v>S/M</v>
      </c>
      <c r="L134">
        <v>0</v>
      </c>
    </row>
    <row r="135" spans="2:12" x14ac:dyDescent="0.25">
      <c r="B135" s="20">
        <v>45064</v>
      </c>
      <c r="C135" t="str">
        <v xml:space="preserve">TORRES ALBINA </v>
      </c>
      <c r="D135">
        <v>63</v>
      </c>
      <c r="E135" t="str">
        <v>STOPELLO</v>
      </c>
      <c r="F135" t="str">
        <v>GONARTROSIS</v>
      </c>
      <c r="G135" t="str">
        <v xml:space="preserve">ESPACIADOR </v>
      </c>
      <c r="H135" t="str">
        <v>VILLALBA</v>
      </c>
      <c r="I135" t="str">
        <v>ACEPTADO</v>
      </c>
      <c r="J135" t="str">
        <v>PARANÁ</v>
      </c>
      <c r="K135" t="str">
        <v>PAMI</v>
      </c>
      <c r="L135">
        <v>0</v>
      </c>
    </row>
    <row r="136" spans="2:12" x14ac:dyDescent="0.25">
      <c r="B136" s="20">
        <v>45064</v>
      </c>
      <c r="C136" t="str">
        <v xml:space="preserve">RIOS CRISPIN </v>
      </c>
      <c r="D136">
        <v>75</v>
      </c>
      <c r="E136" t="str">
        <v>YACOMO</v>
      </c>
      <c r="F136" t="str">
        <v>GONARTROSIS</v>
      </c>
      <c r="G136" t="str">
        <v xml:space="preserve">PTR PRIMARIA </v>
      </c>
      <c r="H136" t="str">
        <v>VILLALBA</v>
      </c>
      <c r="I136" t="str">
        <v>ACEPTADO</v>
      </c>
      <c r="J136" t="str">
        <v>PARANÁ</v>
      </c>
      <c r="K136" t="str">
        <v>PAMI</v>
      </c>
      <c r="L136">
        <v>0</v>
      </c>
    </row>
    <row r="137" spans="2:12" x14ac:dyDescent="0.25">
      <c r="B137" s="20">
        <v>45064</v>
      </c>
      <c r="C137" t="str">
        <v xml:space="preserve">ARRUA RAQUEL </v>
      </c>
      <c r="D137">
        <v>0</v>
      </c>
      <c r="E137" t="str">
        <v>CESAR MEYNET</v>
      </c>
      <c r="F137" t="str">
        <v>GONARTROSIS</v>
      </c>
      <c r="G137" t="str">
        <v xml:space="preserve">PTR ANATOMICA </v>
      </c>
      <c r="H137" t="str">
        <v>VILLALBA</v>
      </c>
      <c r="I137" t="str">
        <v>ACEPTADO</v>
      </c>
      <c r="J137" t="str">
        <v>PARANÁ</v>
      </c>
      <c r="K137" t="str">
        <v>PAMI</v>
      </c>
      <c r="L137">
        <v>0</v>
      </c>
    </row>
    <row r="138" spans="2:12" x14ac:dyDescent="0.25">
      <c r="B138" s="20">
        <v>45064</v>
      </c>
      <c r="C138" t="str">
        <v xml:space="preserve">MUÑOZ CLARA </v>
      </c>
      <c r="D138">
        <v>69</v>
      </c>
      <c r="E138" t="str">
        <v>YACOMO</v>
      </c>
      <c r="F138" t="str">
        <v>GONARTROSIS</v>
      </c>
      <c r="G138" t="str">
        <v xml:space="preserve">PTR ANATOMICA </v>
      </c>
      <c r="H138" t="str">
        <v xml:space="preserve">IP MAGNA </v>
      </c>
      <c r="I138" t="str">
        <v>ACEPTADO</v>
      </c>
      <c r="J138" t="str">
        <v>PARANÁ</v>
      </c>
      <c r="K138" t="str">
        <v>PAMI</v>
      </c>
      <c r="L138">
        <v>0</v>
      </c>
    </row>
    <row r="139" spans="2:12" x14ac:dyDescent="0.25">
      <c r="B139" s="20">
        <v>45064</v>
      </c>
      <c r="C139" t="str">
        <v xml:space="preserve">HOFSTETTER MARTA </v>
      </c>
      <c r="D139">
        <v>64</v>
      </c>
      <c r="E139" t="str">
        <v>MERLINI</v>
      </c>
      <c r="F139" t="str">
        <v>FX HUMERO</v>
      </c>
      <c r="G139" t="str">
        <v xml:space="preserve">CLAVO ENDOM. </v>
      </c>
      <c r="H139" t="str">
        <v>VILLALBA</v>
      </c>
      <c r="I139" t="str">
        <v>ACEPTADO</v>
      </c>
      <c r="J139" t="str">
        <v>PARANÁ</v>
      </c>
      <c r="K139" t="str">
        <v>PAMI</v>
      </c>
      <c r="L139">
        <v>0</v>
      </c>
    </row>
    <row r="140" spans="2:12" x14ac:dyDescent="0.25">
      <c r="B140" s="20">
        <v>45064</v>
      </c>
      <c r="C140" t="str">
        <v xml:space="preserve">FRIES RUBEN </v>
      </c>
      <c r="D140">
        <v>70</v>
      </c>
      <c r="E140" t="str">
        <v>GARCIA VITOR</v>
      </c>
      <c r="F140" t="str">
        <v xml:space="preserve">COXARTROSIS </v>
      </c>
      <c r="G140" t="str">
        <v xml:space="preserve">PTC HIBRIDA </v>
      </c>
      <c r="H140" t="str">
        <v xml:space="preserve">IP MAGNA </v>
      </c>
      <c r="I140" t="str">
        <v>ACEPTADO</v>
      </c>
      <c r="J140" t="str">
        <v>FEDERAL</v>
      </c>
      <c r="K140" t="str">
        <v>PAMI</v>
      </c>
      <c r="L140">
        <v>0</v>
      </c>
    </row>
    <row r="141" spans="2:12" x14ac:dyDescent="0.25">
      <c r="B141" s="20">
        <v>45064</v>
      </c>
      <c r="C141" t="str">
        <v xml:space="preserve">RODRIGUEZ ESTEBAN </v>
      </c>
      <c r="D141">
        <v>24</v>
      </c>
      <c r="E141" t="str">
        <v>YACOMO</v>
      </c>
      <c r="F141" t="str">
        <v>LCA</v>
      </c>
      <c r="G141" t="str">
        <v>TORN/BOTON CORT.</v>
      </c>
      <c r="H141">
        <v>0</v>
      </c>
      <c r="I141" t="str">
        <v>ACEPTADO</v>
      </c>
      <c r="J141" t="str">
        <v>PARANÁ</v>
      </c>
      <c r="K141" t="str">
        <v>S/M</v>
      </c>
      <c r="L141">
        <v>0</v>
      </c>
    </row>
    <row r="142" spans="2:12" x14ac:dyDescent="0.25">
      <c r="B142" s="20">
        <v>45064</v>
      </c>
      <c r="C142" t="str">
        <v xml:space="preserve">DIEDERLE LEONOR </v>
      </c>
      <c r="D142">
        <v>64</v>
      </c>
      <c r="E142" t="str">
        <v>MERLINI</v>
      </c>
      <c r="F142" t="str">
        <v>FX CODO</v>
      </c>
      <c r="G142" t="str">
        <v>PLACA LCP</v>
      </c>
      <c r="H142" t="str">
        <v xml:space="preserve">VILLALBA </v>
      </c>
      <c r="I142" t="str">
        <v>ACEPTADO</v>
      </c>
      <c r="J142" t="str">
        <v>PARANÁ</v>
      </c>
      <c r="K142" t="str">
        <v>PAMI</v>
      </c>
      <c r="L142">
        <v>0</v>
      </c>
    </row>
    <row r="143" spans="2:12" x14ac:dyDescent="0.25">
      <c r="B143" s="20">
        <v>45064</v>
      </c>
      <c r="C143" t="str">
        <v xml:space="preserve">ALMARA IRMA </v>
      </c>
      <c r="D143">
        <v>67</v>
      </c>
      <c r="E143" t="str">
        <v>SAPETTI</v>
      </c>
      <c r="F143" t="str">
        <v>GONARTROSIS</v>
      </c>
      <c r="G143" t="str">
        <v xml:space="preserve">PTR ANATOMICA </v>
      </c>
      <c r="H143" t="str">
        <v xml:space="preserve">IP MAGNA </v>
      </c>
      <c r="I143" t="str">
        <v>ACEPTADO</v>
      </c>
      <c r="J143" t="str">
        <v>PARANÁ</v>
      </c>
      <c r="K143" t="str">
        <v>PAMI</v>
      </c>
      <c r="L143">
        <v>0</v>
      </c>
    </row>
    <row r="144" spans="2:12" x14ac:dyDescent="0.25">
      <c r="B144" s="20">
        <v>45068</v>
      </c>
      <c r="C144" t="str">
        <v xml:space="preserve">OCAMPO NICOLAS </v>
      </c>
      <c r="D144">
        <v>22</v>
      </c>
      <c r="E144" t="str">
        <v>MERLINI</v>
      </c>
      <c r="F144" t="str">
        <v xml:space="preserve">FX MUÑECA </v>
      </c>
      <c r="G144" t="str">
        <v xml:space="preserve">PLACA DOBLE VOLAR </v>
      </c>
      <c r="H144">
        <v>0</v>
      </c>
      <c r="I144" t="str">
        <v>ACEPTADO</v>
      </c>
      <c r="J144" t="str">
        <v xml:space="preserve">HERNANDARIAS </v>
      </c>
      <c r="K144" t="str">
        <v>S/M</v>
      </c>
      <c r="L144">
        <v>0</v>
      </c>
    </row>
    <row r="145" spans="2:12" x14ac:dyDescent="0.25">
      <c r="B145" s="20">
        <v>45069</v>
      </c>
      <c r="C145" t="str">
        <v>SCHONFELD MARIA LUISA</v>
      </c>
      <c r="D145">
        <v>58</v>
      </c>
      <c r="E145" t="str">
        <v>MERLINI</v>
      </c>
      <c r="F145" t="str">
        <v>FX  MTC</v>
      </c>
      <c r="G145" t="str">
        <v>PLACA LCP</v>
      </c>
      <c r="H145">
        <v>0</v>
      </c>
      <c r="I145" t="str">
        <v>INICIADO</v>
      </c>
      <c r="J145" t="str">
        <v>PARANÁ</v>
      </c>
      <c r="K145" t="str">
        <v>S/M</v>
      </c>
      <c r="L145">
        <v>0</v>
      </c>
    </row>
    <row r="146" spans="2:12" x14ac:dyDescent="0.25">
      <c r="B146" s="20">
        <v>45070</v>
      </c>
      <c r="C146" t="str">
        <v xml:space="preserve">LUNA JOSE </v>
      </c>
      <c r="D146">
        <v>58</v>
      </c>
      <c r="E146" t="str">
        <v>SAPETTI</v>
      </c>
      <c r="F146" t="str">
        <v xml:space="preserve">LUX REV CADERA </v>
      </c>
      <c r="G146" t="str">
        <v xml:space="preserve">ESPACIADOR </v>
      </c>
      <c r="H146">
        <v>0</v>
      </c>
      <c r="I146" t="str">
        <v>ACEPTADO</v>
      </c>
      <c r="J146" t="str">
        <v>PARANÁ</v>
      </c>
      <c r="K146" t="str">
        <v>S/M</v>
      </c>
      <c r="L146">
        <v>0</v>
      </c>
    </row>
    <row r="147" spans="2:12" x14ac:dyDescent="0.25">
      <c r="B147" s="20">
        <v>45070</v>
      </c>
      <c r="C147" t="str">
        <v>LACOMBE SANTIAGO</v>
      </c>
      <c r="D147">
        <v>16</v>
      </c>
      <c r="E147" t="str">
        <v xml:space="preserve">HERMIDA </v>
      </c>
      <c r="F147" t="str">
        <v>LCA</v>
      </c>
      <c r="G147" t="str">
        <v>TORN/BOTON CORT.</v>
      </c>
      <c r="H147">
        <v>0</v>
      </c>
      <c r="I147" t="str">
        <v>ACEPTADO</v>
      </c>
      <c r="J147" t="str">
        <v xml:space="preserve">LA PAZ </v>
      </c>
      <c r="K147" t="str">
        <v>S/M</v>
      </c>
      <c r="L147">
        <v>0</v>
      </c>
    </row>
    <row r="148" spans="2:12" x14ac:dyDescent="0.25">
      <c r="B148" s="20">
        <v>45070</v>
      </c>
      <c r="C148" t="str">
        <v xml:space="preserve">MATTEODA HECTOR </v>
      </c>
      <c r="D148">
        <v>75</v>
      </c>
      <c r="E148" t="str">
        <v>SAPETTI</v>
      </c>
      <c r="F148" t="str">
        <v>GONARTROSIS</v>
      </c>
      <c r="G148" t="str">
        <v xml:space="preserve">PTR ANATOMICA </v>
      </c>
      <c r="H148" t="str">
        <v>VILLALVA</v>
      </c>
      <c r="I148" t="str">
        <v>ACEPTADO</v>
      </c>
      <c r="J148" t="str">
        <v>PARANÁ</v>
      </c>
      <c r="K148" t="str">
        <v>PAMI</v>
      </c>
      <c r="L148">
        <v>0</v>
      </c>
    </row>
    <row r="149" spans="2:12" x14ac:dyDescent="0.25">
      <c r="B149" s="20">
        <v>45070</v>
      </c>
      <c r="C149" t="str">
        <v>CABAÑA MANUEL</v>
      </c>
      <c r="D149">
        <v>71</v>
      </c>
      <c r="E149" t="str">
        <v>VENTURI</v>
      </c>
      <c r="F149" t="str">
        <v xml:space="preserve">LES MANG ROT </v>
      </c>
      <c r="G149" t="str">
        <v xml:space="preserve">ARPONES </v>
      </c>
      <c r="H149" t="str">
        <v xml:space="preserve">VILLALBA </v>
      </c>
      <c r="I149" t="str">
        <v>ACEPTADO</v>
      </c>
      <c r="J149" t="str">
        <v>PARANÁ</v>
      </c>
      <c r="K149" t="str">
        <v>PAMI</v>
      </c>
      <c r="L149">
        <v>0</v>
      </c>
    </row>
    <row r="150" spans="2:12" x14ac:dyDescent="0.25">
      <c r="B150" s="20">
        <v>45070</v>
      </c>
      <c r="C150" t="str">
        <v xml:space="preserve">ARANGUIS BLANCA </v>
      </c>
      <c r="D150">
        <v>62</v>
      </c>
      <c r="E150" t="str">
        <v>VENTURI</v>
      </c>
      <c r="F150" t="str">
        <v>GONARTROSIS</v>
      </c>
      <c r="G150" t="str">
        <v xml:space="preserve">PTR ANATOMICA </v>
      </c>
      <c r="H150" t="str">
        <v xml:space="preserve">IP MAGNA </v>
      </c>
      <c r="I150" t="str">
        <v>INICIADO</v>
      </c>
      <c r="J150" t="str">
        <v>PARANÁ</v>
      </c>
      <c r="K150" t="str">
        <v>PAMI</v>
      </c>
      <c r="L150">
        <v>0</v>
      </c>
    </row>
    <row r="151" spans="2:12" x14ac:dyDescent="0.25">
      <c r="B151" s="20">
        <v>45075</v>
      </c>
      <c r="C151" t="str">
        <v xml:space="preserve">AMAYA MARIA </v>
      </c>
      <c r="D151">
        <v>32</v>
      </c>
      <c r="E151" t="str">
        <v>MERLINI</v>
      </c>
      <c r="F151" t="str">
        <v>FX CODO</v>
      </c>
      <c r="G151" t="str">
        <v xml:space="preserve">PLACA DOBLE VOLAR </v>
      </c>
      <c r="H151">
        <v>0</v>
      </c>
      <c r="I151" t="str">
        <v>INICIADO</v>
      </c>
      <c r="J151" t="str">
        <v>PARANÁ</v>
      </c>
      <c r="K151" t="str">
        <v>S/M</v>
      </c>
      <c r="L151">
        <v>0</v>
      </c>
    </row>
    <row r="152" spans="2:12" x14ac:dyDescent="0.25">
      <c r="B152" s="20">
        <v>45075</v>
      </c>
      <c r="C152" t="str">
        <v xml:space="preserve">GOMEZ AGUSTIN </v>
      </c>
      <c r="D152">
        <v>25</v>
      </c>
      <c r="E152" t="str">
        <v>THOMPSOM</v>
      </c>
      <c r="F152" t="str">
        <v xml:space="preserve">FX CLAVICULA </v>
      </c>
      <c r="G152" t="str">
        <v xml:space="preserve">PLACA A NATOM. BLOQ, </v>
      </c>
      <c r="H152">
        <v>0</v>
      </c>
      <c r="I152" t="str">
        <v>ACEPTADO</v>
      </c>
      <c r="J152" t="str">
        <v>BOVRIL</v>
      </c>
      <c r="K152" t="str">
        <v>S/M</v>
      </c>
      <c r="L152">
        <v>3438444965</v>
      </c>
    </row>
    <row r="153" spans="2:12" x14ac:dyDescent="0.25">
      <c r="B153" s="20">
        <v>45075</v>
      </c>
      <c r="C153" t="str">
        <v xml:space="preserve">GAMBINO FRANCISCO </v>
      </c>
      <c r="D153">
        <v>66</v>
      </c>
      <c r="E153" t="str">
        <v>MERLINI</v>
      </c>
      <c r="F153" t="str">
        <v>FX TOBILLO</v>
      </c>
      <c r="G153" t="str">
        <v>PLACA TER.TUBO</v>
      </c>
      <c r="H153" t="str">
        <v>VILLALBA</v>
      </c>
      <c r="I153" t="str">
        <v>ACEPTADO</v>
      </c>
      <c r="J153" t="str">
        <v>PARANÁ</v>
      </c>
      <c r="K153" t="str">
        <v>PAMI</v>
      </c>
      <c r="L153">
        <v>0</v>
      </c>
    </row>
    <row r="154" spans="2:12" x14ac:dyDescent="0.25">
      <c r="B154" s="20">
        <v>45075</v>
      </c>
      <c r="C154" t="str">
        <v xml:space="preserve">ROCCOSALVO NOEMI </v>
      </c>
      <c r="D154">
        <v>83</v>
      </c>
      <c r="E154" t="str">
        <v>MERLINI</v>
      </c>
      <c r="F154" t="str">
        <v xml:space="preserve">FX CADERA </v>
      </c>
      <c r="G154" t="str">
        <v xml:space="preserve">CLAVO GAMMA </v>
      </c>
      <c r="H154" t="str">
        <v xml:space="preserve">VILLALBA </v>
      </c>
      <c r="I154" t="str">
        <v>ACEPTADO</v>
      </c>
      <c r="J154" t="str">
        <v>PARANÁ</v>
      </c>
      <c r="K154" t="str">
        <v>PAMI</v>
      </c>
      <c r="L154">
        <v>0</v>
      </c>
    </row>
    <row r="155" spans="2:12" x14ac:dyDescent="0.25">
      <c r="B155" s="20">
        <v>45075</v>
      </c>
      <c r="C155" t="str">
        <v>LUQUEZ MARIA</v>
      </c>
      <c r="D155">
        <v>70</v>
      </c>
      <c r="E155" t="str">
        <v>MERLINI</v>
      </c>
      <c r="F155" t="str">
        <v xml:space="preserve">FX CADERA </v>
      </c>
      <c r="G155" t="str">
        <v>CLAVO DHS</v>
      </c>
      <c r="H155" t="str">
        <v>VILLALBA</v>
      </c>
      <c r="I155" t="str">
        <v>ACEPTADO</v>
      </c>
      <c r="J155" t="str">
        <v>PARANÁ</v>
      </c>
      <c r="K155" t="str">
        <v>PAMI</v>
      </c>
      <c r="L155">
        <v>0</v>
      </c>
    </row>
    <row r="156" spans="2:12" x14ac:dyDescent="0.25">
      <c r="B156" s="20">
        <v>45075</v>
      </c>
      <c r="C156" t="str">
        <v>TESSARINI NORMA</v>
      </c>
      <c r="D156">
        <v>93</v>
      </c>
      <c r="E156" t="str">
        <v>MERLINI</v>
      </c>
      <c r="F156" t="str">
        <v xml:space="preserve">FX CAEDRA </v>
      </c>
      <c r="G156" t="str">
        <v>CLAVODHS</v>
      </c>
      <c r="H156" t="str">
        <v>VILLALBA</v>
      </c>
      <c r="I156" t="str">
        <v>INICIADO</v>
      </c>
      <c r="J156" t="str">
        <v>PARANÁ</v>
      </c>
      <c r="K156" t="str">
        <v>PAMI</v>
      </c>
      <c r="L156">
        <v>0</v>
      </c>
    </row>
    <row r="157" spans="2:12" x14ac:dyDescent="0.25">
      <c r="B157" s="20">
        <v>45075</v>
      </c>
      <c r="C157" t="str">
        <v>AGUILAR ANTONIO</v>
      </c>
      <c r="D157">
        <v>63</v>
      </c>
      <c r="E157" t="str">
        <v>GREGORUTTI</v>
      </c>
      <c r="F157" t="str">
        <v>GONARTROSIS</v>
      </c>
      <c r="G157" t="str">
        <v xml:space="preserve">PTR ANATOMICA </v>
      </c>
      <c r="H157">
        <v>0</v>
      </c>
      <c r="I157" t="str">
        <v>ACEPTADO</v>
      </c>
      <c r="J157" t="str">
        <v>CRESPO</v>
      </c>
      <c r="K157" t="str">
        <v>S/M</v>
      </c>
      <c r="L157">
        <v>0</v>
      </c>
    </row>
    <row r="158" spans="2:12" x14ac:dyDescent="0.25">
      <c r="B158" s="20">
        <v>45075</v>
      </c>
      <c r="C158" t="str">
        <v xml:space="preserve">PASUTTI JUAN </v>
      </c>
      <c r="D158">
        <v>76</v>
      </c>
      <c r="E158" t="str">
        <v>SAPETTI</v>
      </c>
      <c r="F158" t="str">
        <v>GONARTROSIS</v>
      </c>
      <c r="G158" t="str">
        <v xml:space="preserve">PTR ANATOMICA </v>
      </c>
      <c r="H158" t="str">
        <v xml:space="preserve">VILLALBA </v>
      </c>
      <c r="I158" t="str">
        <v>ACEPTADO</v>
      </c>
      <c r="J158" t="str">
        <v>PARANÁ</v>
      </c>
      <c r="K158" t="str">
        <v>PAMI</v>
      </c>
      <c r="L158">
        <v>0</v>
      </c>
    </row>
    <row r="159" spans="2:12" x14ac:dyDescent="0.25">
      <c r="B159" s="20">
        <v>45075</v>
      </c>
      <c r="C159" t="str">
        <v>LUNA FEDERICO</v>
      </c>
      <c r="D159">
        <v>34</v>
      </c>
      <c r="E159" t="str">
        <v>MERLINI</v>
      </c>
      <c r="F159" t="str">
        <v>FX HUMERO</v>
      </c>
      <c r="G159" t="str">
        <v>PLACA PHILOS</v>
      </c>
      <c r="H159">
        <v>0</v>
      </c>
      <c r="I159" t="str">
        <v>INICIADO</v>
      </c>
      <c r="J159" t="str">
        <v>PARANÁ</v>
      </c>
      <c r="K159" t="str">
        <v>S/M</v>
      </c>
      <c r="L159">
        <v>0</v>
      </c>
    </row>
    <row r="160" spans="2:12" x14ac:dyDescent="0.25">
      <c r="B160" s="20">
        <v>45076</v>
      </c>
      <c r="C160" t="str">
        <v xml:space="preserve">TROITIÑO MARGARITA </v>
      </c>
      <c r="D160">
        <v>82</v>
      </c>
      <c r="E160" t="str">
        <v>MERLINI</v>
      </c>
      <c r="F160" t="str">
        <v xml:space="preserve">FX CADERA </v>
      </c>
      <c r="G160" t="str">
        <v xml:space="preserve">PTC CEMENT/COTILO DOBLE </v>
      </c>
      <c r="H160" t="str">
        <v>VILLALBA</v>
      </c>
      <c r="I160" t="str">
        <v>ACEPTADO</v>
      </c>
      <c r="J160" t="str">
        <v>PARANÁ</v>
      </c>
      <c r="K160" t="str">
        <v>PAMI</v>
      </c>
      <c r="L160">
        <v>0</v>
      </c>
    </row>
    <row r="161" spans="2:12" x14ac:dyDescent="0.25">
      <c r="B161" s="20">
        <v>45076</v>
      </c>
      <c r="C161" t="str">
        <v>CABALLERO JOSE CARLOS</v>
      </c>
      <c r="D161">
        <v>83</v>
      </c>
      <c r="E161" t="str">
        <v>PELEGRINI</v>
      </c>
      <c r="F161" t="str">
        <v xml:space="preserve">COXARTROSIS </v>
      </c>
      <c r="G161" t="str">
        <v xml:space="preserve">PTC HIBRIDA </v>
      </c>
      <c r="H161" t="str">
        <v xml:space="preserve">VILLALBA </v>
      </c>
      <c r="I161" t="str">
        <v>ACEPTADO</v>
      </c>
      <c r="J161" t="str">
        <v>PARANÁ</v>
      </c>
      <c r="K161" t="str">
        <v>PAMI</v>
      </c>
      <c r="L161">
        <v>0</v>
      </c>
    </row>
    <row r="162" spans="2:12" x14ac:dyDescent="0.25">
      <c r="B162" s="20">
        <v>45076</v>
      </c>
      <c r="C162" t="str">
        <v>VIGGIANO SERGIO</v>
      </c>
      <c r="D162">
        <v>50</v>
      </c>
      <c r="E162" t="str">
        <v>SAPETTI</v>
      </c>
      <c r="F162">
        <v>0</v>
      </c>
      <c r="G162" t="str">
        <v xml:space="preserve">PTR ANATOMICA </v>
      </c>
      <c r="H162">
        <v>0</v>
      </c>
      <c r="I162" t="str">
        <v>ACEPTADO</v>
      </c>
      <c r="J162" t="str">
        <v>PARANÁ</v>
      </c>
      <c r="K162" t="str">
        <v>S/M</v>
      </c>
      <c r="L162">
        <v>0</v>
      </c>
    </row>
    <row r="163" spans="2:12" x14ac:dyDescent="0.25">
      <c r="B163" s="20">
        <v>45078</v>
      </c>
      <c r="C163" t="str">
        <v>GARCILAO ERNESTO</v>
      </c>
      <c r="D163">
        <v>78</v>
      </c>
      <c r="E163" t="str">
        <v>GARCIA VITOR</v>
      </c>
      <c r="F163" t="str">
        <v>GENU VARO</v>
      </c>
      <c r="G163" t="str">
        <v>PTR ANATMICA  MOD</v>
      </c>
      <c r="H163" t="str">
        <v xml:space="preserve">VILLALBA </v>
      </c>
      <c r="I163" t="str">
        <v>ACEPTADO</v>
      </c>
      <c r="J163" t="str">
        <v>PARANÁ</v>
      </c>
      <c r="K163" t="str">
        <v>PAMI</v>
      </c>
      <c r="L163">
        <v>0</v>
      </c>
    </row>
    <row r="164" spans="2:12" x14ac:dyDescent="0.25">
      <c r="B164" s="20">
        <v>45078</v>
      </c>
      <c r="C164" t="str">
        <v xml:space="preserve">FANGI SUSANA </v>
      </c>
      <c r="D164">
        <v>63</v>
      </c>
      <c r="E164" t="str">
        <v>GARCIA VITOR</v>
      </c>
      <c r="F164" t="str">
        <v>COXARTROSIS</v>
      </c>
      <c r="G164" t="str">
        <v>PTC ANATOMICA MOD</v>
      </c>
      <c r="H164" t="str">
        <v xml:space="preserve">IP MAGNA </v>
      </c>
      <c r="I164" t="str">
        <v>ACEPTADO</v>
      </c>
      <c r="J164" t="str">
        <v>PARANÁ</v>
      </c>
      <c r="K164" t="str">
        <v>PAMI</v>
      </c>
      <c r="L164">
        <v>0</v>
      </c>
    </row>
    <row r="165" spans="2:12" x14ac:dyDescent="0.25">
      <c r="B165" s="20">
        <v>45079</v>
      </c>
      <c r="C165" t="str">
        <v xml:space="preserve">GERSTNER MARIA </v>
      </c>
      <c r="D165">
        <v>89</v>
      </c>
      <c r="E165" t="str">
        <v>MERLINI</v>
      </c>
      <c r="F165" t="str">
        <v>FX HUMERO</v>
      </c>
      <c r="G165" t="str">
        <v xml:space="preserve">PLACA PHILOS </v>
      </c>
      <c r="H165" t="str">
        <v xml:space="preserve">VILLALBA </v>
      </c>
      <c r="I165" t="str">
        <v>ACEPTADO</v>
      </c>
      <c r="J165" t="str">
        <v>PARANÁ</v>
      </c>
      <c r="K165" t="str">
        <v>PAMI</v>
      </c>
      <c r="L165">
        <v>3436119888</v>
      </c>
    </row>
    <row r="166" spans="2:12" x14ac:dyDescent="0.25">
      <c r="B166" s="20">
        <v>45079</v>
      </c>
      <c r="C166" t="str">
        <v xml:space="preserve">CURAC CEFERINA </v>
      </c>
      <c r="D166">
        <v>87</v>
      </c>
      <c r="E166" t="str">
        <v>MERLINI</v>
      </c>
      <c r="F166" t="str">
        <v xml:space="preserve">FX CADERA </v>
      </c>
      <c r="G166" t="str">
        <v>CLAVO GAMMA</v>
      </c>
      <c r="H166" t="str">
        <v xml:space="preserve">VILLALBA </v>
      </c>
      <c r="I166" t="str">
        <v>ACEPTADO</v>
      </c>
      <c r="J166" t="str">
        <v>PARANÁ</v>
      </c>
      <c r="K166" t="str">
        <v>PAMI</v>
      </c>
      <c r="L166">
        <v>0</v>
      </c>
    </row>
    <row r="167" spans="2:12" x14ac:dyDescent="0.25">
      <c r="B167" s="20">
        <v>45082</v>
      </c>
      <c r="C167" t="str">
        <v xml:space="preserve">DUARTE BLANCA </v>
      </c>
      <c r="D167">
        <v>72</v>
      </c>
      <c r="E167" t="str">
        <v>MERLINI</v>
      </c>
      <c r="F167" t="str">
        <v>FX HUMERO</v>
      </c>
      <c r="G167" t="str">
        <v xml:space="preserve">PLACA PHILOS </v>
      </c>
      <c r="H167" t="str">
        <v xml:space="preserve">VILLALBA </v>
      </c>
      <c r="I167" t="str">
        <v>ACEPTADO</v>
      </c>
      <c r="J167" t="str">
        <v>PARANÁ</v>
      </c>
      <c r="K167" t="str">
        <v>PAMI</v>
      </c>
      <c r="L167">
        <v>0</v>
      </c>
    </row>
    <row r="168" spans="2:12" x14ac:dyDescent="0.25">
      <c r="B168" s="20">
        <v>45083</v>
      </c>
      <c r="C168" t="str">
        <v>PALACIOS MIGUEL</v>
      </c>
      <c r="D168">
        <v>72</v>
      </c>
      <c r="E168" t="str">
        <v>MERLINI</v>
      </c>
      <c r="F168" t="str">
        <v>FX CODO</v>
      </c>
      <c r="G168" t="str">
        <v xml:space="preserve">PLACA RECONST </v>
      </c>
      <c r="H168" t="str">
        <v xml:space="preserve">VILLALBA </v>
      </c>
      <c r="I168" t="str">
        <v>ACEPTADO</v>
      </c>
      <c r="J168" t="str">
        <v>PARANÁ</v>
      </c>
      <c r="K168" t="str">
        <v>PAMI</v>
      </c>
      <c r="L168">
        <v>0</v>
      </c>
    </row>
    <row r="169" spans="2:12" x14ac:dyDescent="0.25">
      <c r="B169" s="20">
        <v>45085</v>
      </c>
      <c r="C169" t="str">
        <v xml:space="preserve">LUNA MAURICIA </v>
      </c>
      <c r="D169">
        <v>75</v>
      </c>
      <c r="E169" t="str">
        <v>YACOMO</v>
      </c>
      <c r="F169" t="str">
        <v xml:space="preserve">FX CADERA </v>
      </c>
      <c r="G169" t="str">
        <v>CLAVO GAMMA</v>
      </c>
      <c r="H169" t="str">
        <v xml:space="preserve">VILLALBA </v>
      </c>
      <c r="I169" t="str">
        <v>ACEPTADO</v>
      </c>
      <c r="J169" t="str">
        <v>PARANÁ</v>
      </c>
      <c r="K169" t="str">
        <v>PAMI</v>
      </c>
      <c r="L169">
        <v>0</v>
      </c>
    </row>
    <row r="170" spans="2:12" x14ac:dyDescent="0.25">
      <c r="B170" s="20">
        <v>45085</v>
      </c>
      <c r="C170" t="str">
        <v>GOMEZ MARIO</v>
      </c>
      <c r="D170">
        <v>67</v>
      </c>
      <c r="E170" t="str">
        <v>MERLINI</v>
      </c>
      <c r="F170" t="str">
        <v xml:space="preserve">FX MUÑECA </v>
      </c>
      <c r="G170" t="str">
        <v xml:space="preserve">PLACA  DOBLE HILERA DIS </v>
      </c>
      <c r="H170" t="str">
        <v xml:space="preserve">VILLALBA </v>
      </c>
      <c r="I170" t="str">
        <v>ACEPTADO</v>
      </c>
      <c r="J170" t="str">
        <v>PARANÁ</v>
      </c>
      <c r="K170" t="str">
        <v>PAMI</v>
      </c>
      <c r="L170">
        <v>0</v>
      </c>
    </row>
    <row r="171" spans="2:12" x14ac:dyDescent="0.25">
      <c r="B171" s="20">
        <v>45085</v>
      </c>
      <c r="C171" t="str">
        <v>BERTOLI ALFREDO</v>
      </c>
      <c r="D171">
        <v>52</v>
      </c>
      <c r="E171" t="str">
        <v>GARCIA VITOR</v>
      </c>
      <c r="F171" t="str">
        <v>NECROSIS</v>
      </c>
      <c r="G171" t="str">
        <v>PTC NO CEMENTADA</v>
      </c>
      <c r="H171" t="str">
        <v xml:space="preserve">IP MAGNA </v>
      </c>
      <c r="I171" t="str">
        <v>ACEPTADO</v>
      </c>
      <c r="J171" t="str">
        <v>PARANÁ</v>
      </c>
      <c r="K171" t="str">
        <v>PAMI</v>
      </c>
      <c r="L171">
        <v>3435114763</v>
      </c>
    </row>
    <row r="172" spans="2:12" x14ac:dyDescent="0.25">
      <c r="B172" s="20">
        <v>45086</v>
      </c>
      <c r="C172" t="str">
        <v xml:space="preserve">RICKERT CATALINA </v>
      </c>
      <c r="D172">
        <v>89</v>
      </c>
      <c r="E172" t="str">
        <v>MERLINI</v>
      </c>
      <c r="F172" t="str">
        <v xml:space="preserve">FX CADERA </v>
      </c>
      <c r="G172" t="str">
        <v>TORN. CANUL</v>
      </c>
      <c r="H172" t="str">
        <v xml:space="preserve">VILLALBA </v>
      </c>
      <c r="I172" t="str">
        <v>ACEPTADO</v>
      </c>
      <c r="J172" t="str">
        <v>PARANÁ</v>
      </c>
      <c r="K172" t="str">
        <v>PAMI</v>
      </c>
      <c r="L172">
        <v>0</v>
      </c>
    </row>
    <row r="173" spans="2:12" x14ac:dyDescent="0.25">
      <c r="B173" s="20">
        <v>45086</v>
      </c>
      <c r="C173" t="str">
        <v xml:space="preserve">BERUTTI SILVIA </v>
      </c>
      <c r="D173">
        <v>66</v>
      </c>
      <c r="E173" t="str">
        <v>SAPETTI</v>
      </c>
      <c r="F173" t="str">
        <v xml:space="preserve">INFCC.PROTESICA </v>
      </c>
      <c r="G173" t="str">
        <v xml:space="preserve">TUTOR MONOPL. </v>
      </c>
      <c r="H173" t="str">
        <v xml:space="preserve">VILLALBA </v>
      </c>
      <c r="I173" t="str">
        <v>ACEPTADO</v>
      </c>
      <c r="J173" t="str">
        <v>PARANÁ</v>
      </c>
      <c r="K173" t="str">
        <v>PAMI</v>
      </c>
      <c r="L173">
        <v>0</v>
      </c>
    </row>
    <row r="174" spans="2:12" x14ac:dyDescent="0.25">
      <c r="B174" s="20">
        <v>45086</v>
      </c>
      <c r="C174" t="str">
        <v>BRAVO MIRTA RAQUEL</v>
      </c>
      <c r="D174">
        <v>0</v>
      </c>
      <c r="E174" t="str">
        <v>SAPETTI</v>
      </c>
      <c r="F174" t="str">
        <v>GONARTROSIS</v>
      </c>
      <c r="G174" t="str">
        <v>RTR PRIMARIO</v>
      </c>
      <c r="H174" t="str">
        <v xml:space="preserve">IP MAGNA </v>
      </c>
      <c r="I174" t="str">
        <v>ACEPTADO</v>
      </c>
      <c r="J174" t="str">
        <v>PARANÁ</v>
      </c>
      <c r="K174" t="str">
        <v>PAMI</v>
      </c>
      <c r="L174">
        <v>0</v>
      </c>
    </row>
    <row r="175" spans="2:12" x14ac:dyDescent="0.25">
      <c r="B175" s="20">
        <v>45089</v>
      </c>
      <c r="C175" t="str">
        <v xml:space="preserve">CABAÑA ANTONIO </v>
      </c>
      <c r="D175">
        <v>68</v>
      </c>
      <c r="E175" t="str">
        <v>CATRIEL GODOY</v>
      </c>
      <c r="F175" t="str">
        <v>COXALGIA</v>
      </c>
      <c r="G175" t="str">
        <v>PTC NO CEMENTADA</v>
      </c>
      <c r="H175" t="str">
        <v xml:space="preserve">IP MAGNA </v>
      </c>
      <c r="I175" t="str">
        <v>ACEPTADO</v>
      </c>
      <c r="J175" t="str">
        <v>PARANÁ</v>
      </c>
      <c r="K175" t="str">
        <v>PAMI</v>
      </c>
      <c r="L175">
        <v>0</v>
      </c>
    </row>
    <row r="176" spans="2:12" x14ac:dyDescent="0.25">
      <c r="B176" s="20">
        <v>45089</v>
      </c>
      <c r="C176" t="str">
        <v xml:space="preserve">CUELLO MIGUEL </v>
      </c>
      <c r="D176">
        <v>66</v>
      </c>
      <c r="E176" t="str">
        <v>GARCIA VITOR</v>
      </c>
      <c r="F176" t="str">
        <v>COXALGIA</v>
      </c>
      <c r="G176" t="str">
        <v xml:space="preserve">PTC REV/COTILLO DOBLE </v>
      </c>
      <c r="H176" t="str">
        <v xml:space="preserve">IP MAGNA </v>
      </c>
      <c r="I176" t="str">
        <v>ACEPTADO</v>
      </c>
      <c r="J176" t="str">
        <v>PARANÁ</v>
      </c>
      <c r="K176" t="str">
        <v>PAMI</v>
      </c>
      <c r="L176">
        <v>0</v>
      </c>
    </row>
    <row r="177" spans="2:12" x14ac:dyDescent="0.25">
      <c r="B177" s="20">
        <v>45089</v>
      </c>
      <c r="C177" t="str">
        <v>OLMOS NICOLASA</v>
      </c>
      <c r="D177">
        <v>84</v>
      </c>
      <c r="E177" t="str">
        <v>UCEDO</v>
      </c>
      <c r="F177" t="str">
        <v xml:space="preserve">FX CADERA </v>
      </c>
      <c r="G177" t="str">
        <v>PC CEMENT /COTILO DOBLE</v>
      </c>
      <c r="H177" t="str">
        <v xml:space="preserve">VILLALBA </v>
      </c>
      <c r="I177" t="str">
        <v>ACEPTADO</v>
      </c>
      <c r="J177" t="str">
        <v>PARANÁ</v>
      </c>
      <c r="K177" t="str">
        <v>PAMI</v>
      </c>
      <c r="L177">
        <v>0</v>
      </c>
    </row>
    <row r="178" spans="2:12" x14ac:dyDescent="0.25">
      <c r="B178" s="20">
        <v>45089</v>
      </c>
      <c r="C178" t="str">
        <v xml:space="preserve">MEDINA MARIA CRISTINA </v>
      </c>
      <c r="D178">
        <v>67</v>
      </c>
      <c r="E178" t="str">
        <v>CESAR MEYNET</v>
      </c>
      <c r="F178" t="str">
        <v>ARTROSIS ROD</v>
      </c>
      <c r="G178" t="str">
        <v>PTR ANATMICA  MOD</v>
      </c>
      <c r="H178" t="str">
        <v xml:space="preserve">IP MAGNA </v>
      </c>
      <c r="I178" t="str">
        <v>ACEPTADO</v>
      </c>
      <c r="J178" t="str">
        <v>PARANÁ</v>
      </c>
      <c r="K178" t="str">
        <v>PAMI</v>
      </c>
      <c r="L178">
        <v>0</v>
      </c>
    </row>
    <row r="179" spans="2:12" x14ac:dyDescent="0.25">
      <c r="B179" s="20">
        <v>45090</v>
      </c>
      <c r="C179" t="str">
        <v xml:space="preserve">RIVASSEAU RAUL </v>
      </c>
      <c r="D179">
        <v>75</v>
      </c>
      <c r="E179" t="str">
        <v>UCEDO</v>
      </c>
      <c r="F179" t="str">
        <v>ARTROSIS TOB</v>
      </c>
      <c r="G179" t="str">
        <v>TORN. CANUL</v>
      </c>
      <c r="H179" t="str">
        <v xml:space="preserve">VILLALBA </v>
      </c>
      <c r="I179" t="str">
        <v>ACEPTADO</v>
      </c>
      <c r="J179" t="str">
        <v>PARANÁ</v>
      </c>
      <c r="K179" t="str">
        <v>PAMI</v>
      </c>
      <c r="L179">
        <v>154711411</v>
      </c>
    </row>
    <row r="180" spans="2:12" x14ac:dyDescent="0.25">
      <c r="B180" s="20">
        <v>45090</v>
      </c>
      <c r="C180" t="str">
        <v xml:space="preserve">AMARILLO BEATRIZ </v>
      </c>
      <c r="D180">
        <v>47</v>
      </c>
      <c r="E180" t="str">
        <v xml:space="preserve">JACOB </v>
      </c>
      <c r="F180" t="str">
        <v xml:space="preserve">LUMBOCIATALGIA </v>
      </c>
      <c r="G180" t="str">
        <v>BARRAS/TORN/CAGE/DRILL</v>
      </c>
      <c r="H180">
        <v>0</v>
      </c>
      <c r="I180" t="str">
        <v xml:space="preserve">INICIADO </v>
      </c>
      <c r="J180" t="str">
        <v xml:space="preserve">NOGOYA </v>
      </c>
      <c r="K180" t="str">
        <v>S/M</v>
      </c>
      <c r="L180">
        <v>3435612939</v>
      </c>
    </row>
    <row r="181" spans="2:12" x14ac:dyDescent="0.25">
      <c r="B181" s="20">
        <v>45090</v>
      </c>
      <c r="C181" t="str">
        <v xml:space="preserve">STRACK ZUNILDA </v>
      </c>
      <c r="D181">
        <v>73</v>
      </c>
      <c r="E181" t="str">
        <v xml:space="preserve">HERMIDA </v>
      </c>
      <c r="F181" t="str">
        <v xml:space="preserve">ARTROSIS ROD </v>
      </c>
      <c r="G181" t="str">
        <v xml:space="preserve">RPP RODILLA IZQ </v>
      </c>
      <c r="H181" t="str">
        <v xml:space="preserve">VILLALBA </v>
      </c>
      <c r="I181" t="str">
        <v>ACEPTADO</v>
      </c>
      <c r="J181" t="str">
        <v>PARANÁ</v>
      </c>
      <c r="K181" t="str">
        <v>PAMI</v>
      </c>
      <c r="L181">
        <v>155446668</v>
      </c>
    </row>
    <row r="182" spans="2:12" x14ac:dyDescent="0.25">
      <c r="B182" s="20">
        <v>45092</v>
      </c>
      <c r="C182" t="str">
        <v xml:space="preserve">FERNANDEZ MARTA </v>
      </c>
      <c r="D182">
        <v>53</v>
      </c>
      <c r="E182" t="str">
        <v>GARCIA VITOR</v>
      </c>
      <c r="F182" t="str">
        <v>FALLA PTRT.</v>
      </c>
      <c r="G182" t="str">
        <v>CLAVO TIPO MULLER</v>
      </c>
      <c r="H182">
        <v>0</v>
      </c>
      <c r="I182" t="str">
        <v xml:space="preserve">INICIADO </v>
      </c>
      <c r="J182" t="str">
        <v>CRESPO</v>
      </c>
      <c r="K182" t="str">
        <v>S/M</v>
      </c>
      <c r="L182">
        <v>3434672320</v>
      </c>
    </row>
    <row r="183" spans="2:12" x14ac:dyDescent="0.25">
      <c r="B183" s="20">
        <v>45099</v>
      </c>
      <c r="C183" t="str">
        <v>OCAMPO PERDO</v>
      </c>
      <c r="D183">
        <v>71</v>
      </c>
      <c r="E183" t="str">
        <v>YACOMO</v>
      </c>
      <c r="F183" t="str">
        <v>GENU VARO</v>
      </c>
      <c r="G183" t="str">
        <v>PTR ANATMICA  MOD</v>
      </c>
      <c r="H183" t="str">
        <v xml:space="preserve">VILLALBA </v>
      </c>
      <c r="I183" t="str">
        <v>ACEPTADO</v>
      </c>
      <c r="J183" t="str">
        <v>PARANÁ</v>
      </c>
      <c r="K183" t="str">
        <v>PAMI</v>
      </c>
      <c r="L183">
        <v>155116005</v>
      </c>
    </row>
    <row r="184" spans="2:12" x14ac:dyDescent="0.25">
      <c r="B184" s="20">
        <v>45099</v>
      </c>
      <c r="C184" t="str">
        <v>RODRIGUEZ SANTOS</v>
      </c>
      <c r="D184">
        <v>24</v>
      </c>
      <c r="E184" t="str">
        <v>GARCIA VITOR</v>
      </c>
      <c r="F184" t="str">
        <v>LCA</v>
      </c>
      <c r="G184" t="str">
        <v>TORN. BOTON/HDH</v>
      </c>
      <c r="H184">
        <v>0</v>
      </c>
      <c r="I184" t="str">
        <v xml:space="preserve">INICIADO </v>
      </c>
      <c r="J184" t="str">
        <v>VILLAGUAY</v>
      </c>
      <c r="K184" t="str">
        <v>S/M</v>
      </c>
      <c r="L184">
        <v>3455402807</v>
      </c>
    </row>
    <row r="185" spans="2:12" x14ac:dyDescent="0.25">
      <c r="B185" s="20">
        <v>45099</v>
      </c>
      <c r="C185" t="str">
        <v xml:space="preserve">FLORES MIGUEL ANGEL </v>
      </c>
      <c r="D185">
        <v>47</v>
      </c>
      <c r="E185" t="str">
        <v>GARCIA VITOR</v>
      </c>
      <c r="F185" t="str">
        <v>LCA</v>
      </c>
      <c r="G185" t="str">
        <v>TORN.BOTON</v>
      </c>
      <c r="H185">
        <v>0</v>
      </c>
      <c r="I185" t="str">
        <v>ACEPTADO</v>
      </c>
      <c r="J185" t="str">
        <v>VIALE</v>
      </c>
      <c r="K185" t="str">
        <v>S/M</v>
      </c>
      <c r="L185">
        <v>0</v>
      </c>
    </row>
    <row r="186" spans="2:12" x14ac:dyDescent="0.25">
      <c r="B186" s="20">
        <v>45103</v>
      </c>
      <c r="C186" t="str">
        <v>VALENTINUZ NELLI TERESITA</v>
      </c>
      <c r="D186">
        <v>91</v>
      </c>
      <c r="E186" t="str">
        <v>MERLINI</v>
      </c>
      <c r="F186" t="str">
        <v xml:space="preserve">FX CADERA </v>
      </c>
      <c r="G186" t="str">
        <v>CLAVO GAMMA</v>
      </c>
      <c r="H186" t="str">
        <v xml:space="preserve">VILLALBA </v>
      </c>
      <c r="I186" t="str">
        <v>ACEPTADO</v>
      </c>
      <c r="J186" t="str">
        <v>PARANÁ</v>
      </c>
      <c r="K186" t="str">
        <v>PAMI</v>
      </c>
      <c r="L186">
        <v>0</v>
      </c>
    </row>
    <row r="187" spans="2:12" x14ac:dyDescent="0.25">
      <c r="B187" s="20">
        <v>45103</v>
      </c>
      <c r="C187" t="str">
        <v xml:space="preserve">BARROSO MAGDALENA </v>
      </c>
      <c r="D187">
        <v>87</v>
      </c>
      <c r="E187" t="str">
        <v>MERLINI</v>
      </c>
      <c r="F187" t="str">
        <v xml:space="preserve">FX CADERA </v>
      </c>
      <c r="G187" t="str">
        <v>CLAVO GAMMA</v>
      </c>
      <c r="H187" t="str">
        <v xml:space="preserve">VILLALBA </v>
      </c>
      <c r="I187" t="str">
        <v>ACEPTADO</v>
      </c>
      <c r="J187" t="str">
        <v xml:space="preserve">NOGOYA </v>
      </c>
      <c r="K187" t="str">
        <v>PAMI</v>
      </c>
      <c r="L187">
        <v>0</v>
      </c>
    </row>
    <row r="188" spans="2:12" x14ac:dyDescent="0.25">
      <c r="B188" s="20">
        <v>45103</v>
      </c>
      <c r="C188" t="str">
        <v xml:space="preserve">LUGON TERESITA BEATRIZ </v>
      </c>
      <c r="D188">
        <v>73</v>
      </c>
      <c r="E188" t="str">
        <v>MERLINI</v>
      </c>
      <c r="F188" t="str">
        <v xml:space="preserve">FX MUÑECA </v>
      </c>
      <c r="G188" t="str">
        <v>PACA VOLAR</v>
      </c>
      <c r="H188" t="str">
        <v xml:space="preserve">VILLALBA </v>
      </c>
      <c r="I188" t="str">
        <v>ACEPTADO</v>
      </c>
      <c r="J188" t="str">
        <v>PARANÁ</v>
      </c>
      <c r="K188" t="str">
        <v>PAMI</v>
      </c>
      <c r="L188">
        <v>0</v>
      </c>
    </row>
    <row r="189" spans="2:12" x14ac:dyDescent="0.25">
      <c r="B189" s="20">
        <v>45106</v>
      </c>
      <c r="C189" t="str">
        <v xml:space="preserve">ALGUIBE LAURA </v>
      </c>
      <c r="D189">
        <v>48</v>
      </c>
      <c r="E189" t="str">
        <v>VENTURI</v>
      </c>
      <c r="F189" t="str">
        <v>FX HUMERO</v>
      </c>
      <c r="G189" t="str">
        <v xml:space="preserve">PLACA PHILOS </v>
      </c>
      <c r="H189" t="str">
        <v xml:space="preserve">VILLALBA </v>
      </c>
      <c r="I189" t="str">
        <v>ACEPTADO</v>
      </c>
      <c r="J189" t="str">
        <v>PARANÁ</v>
      </c>
      <c r="K189" t="str">
        <v>PAMI</v>
      </c>
      <c r="L189">
        <v>0</v>
      </c>
    </row>
    <row r="190" spans="2:12" x14ac:dyDescent="0.25">
      <c r="B190" s="20">
        <v>45106</v>
      </c>
      <c r="C190" t="str">
        <v xml:space="preserve">PIROLA BETIS </v>
      </c>
      <c r="D190">
        <v>0</v>
      </c>
      <c r="E190" t="str">
        <v>SUKSDORF</v>
      </c>
      <c r="F190" t="str">
        <v>COXARTROSIS</v>
      </c>
      <c r="G190" t="str">
        <v>PTC CEMEN/COTILO DOB</v>
      </c>
      <c r="H190" t="str">
        <v xml:space="preserve">VILLALBA </v>
      </c>
      <c r="I190" t="str">
        <v>ACEPTADO</v>
      </c>
      <c r="J190" t="str">
        <v>PARANÁ</v>
      </c>
      <c r="K190" t="str">
        <v>PAMI</v>
      </c>
      <c r="L190">
        <v>0</v>
      </c>
    </row>
    <row r="191" spans="2:12" x14ac:dyDescent="0.25">
      <c r="B191" s="20">
        <v>45106</v>
      </c>
      <c r="C191" t="str">
        <v xml:space="preserve">DIGIOBANI LUCAS </v>
      </c>
      <c r="D191">
        <v>16</v>
      </c>
      <c r="E191" t="str">
        <v>YACOMO</v>
      </c>
      <c r="F191" t="str">
        <v xml:space="preserve">RUP DE ROTULA </v>
      </c>
      <c r="G191" t="str">
        <v>ARP/TORN/STRPPER</v>
      </c>
      <c r="H191">
        <v>0</v>
      </c>
      <c r="I191" t="str">
        <v xml:space="preserve">INICIADO </v>
      </c>
      <c r="J191" t="str">
        <v>PARANÁ</v>
      </c>
      <c r="K191" t="str">
        <v>S/M</v>
      </c>
      <c r="L191">
        <v>154196446</v>
      </c>
    </row>
    <row r="192" spans="2:12" x14ac:dyDescent="0.25">
      <c r="B192" s="20">
        <v>45106</v>
      </c>
      <c r="C192" t="str">
        <v xml:space="preserve">GUTIERREZ DORALISA </v>
      </c>
      <c r="D192">
        <v>71</v>
      </c>
      <c r="E192" t="str">
        <v>SUKSDORF</v>
      </c>
      <c r="F192" t="str">
        <v>GONARTROSIS</v>
      </c>
      <c r="G192" t="str">
        <v xml:space="preserve">PTR PRIMARIA </v>
      </c>
      <c r="H192" t="str">
        <v xml:space="preserve">VILLALBA </v>
      </c>
      <c r="I192" t="str">
        <v>ACEPTADO</v>
      </c>
      <c r="J192" t="str">
        <v>PARANÁ</v>
      </c>
      <c r="K192" t="str">
        <v>PAMI</v>
      </c>
      <c r="L192">
        <v>0</v>
      </c>
    </row>
    <row r="193" spans="2:12" x14ac:dyDescent="0.25">
      <c r="B193" s="20">
        <v>45106</v>
      </c>
      <c r="C193" t="str">
        <v xml:space="preserve">MONTEROS MARIA </v>
      </c>
      <c r="D193">
        <v>77</v>
      </c>
      <c r="E193" t="str">
        <v>SUKSDORF</v>
      </c>
      <c r="F193" t="str">
        <v>COXARTROSIS</v>
      </c>
      <c r="G193" t="str">
        <v>PTC CEMEN/COTILO DOB</v>
      </c>
      <c r="H193" t="str">
        <v xml:space="preserve">VILLALBA </v>
      </c>
      <c r="I193" t="str">
        <v>ACEPTADO</v>
      </c>
      <c r="J193" t="str">
        <v>PARANÁ</v>
      </c>
      <c r="K193" t="str">
        <v>PAMI</v>
      </c>
      <c r="L193">
        <v>0</v>
      </c>
    </row>
    <row r="194" spans="2:12" x14ac:dyDescent="0.25">
      <c r="B194" s="20">
        <v>45107</v>
      </c>
      <c r="C194" t="str">
        <v>FROSCHAUER MIKEL</v>
      </c>
      <c r="D194">
        <v>25</v>
      </c>
      <c r="E194" t="str">
        <v>PELEGRINI</v>
      </c>
      <c r="F194" t="str">
        <v xml:space="preserve">LCA </v>
      </c>
      <c r="G194" t="str">
        <v xml:space="preserve">TORN INTRF/BOTON </v>
      </c>
      <c r="H194">
        <v>0</v>
      </c>
      <c r="I194" t="str">
        <v>ACEPTADO</v>
      </c>
      <c r="J194" t="str">
        <v>PARANÁ</v>
      </c>
      <c r="K194" t="str">
        <v>S/M</v>
      </c>
      <c r="L194">
        <v>0</v>
      </c>
    </row>
    <row r="195" spans="2:12" x14ac:dyDescent="0.25">
      <c r="B195" s="20">
        <v>45110</v>
      </c>
      <c r="C195" t="str">
        <v xml:space="preserve">LEIVA EDUARDO </v>
      </c>
      <c r="D195">
        <v>56</v>
      </c>
      <c r="E195" t="str">
        <v>SAPETTI</v>
      </c>
      <c r="F195" t="str">
        <v xml:space="preserve">GONALGIA </v>
      </c>
      <c r="G195" t="str">
        <v>PTR ANAT. MODULAR</v>
      </c>
      <c r="H195">
        <v>0</v>
      </c>
      <c r="I195" t="str">
        <v>ACEPTADO</v>
      </c>
      <c r="J195" t="str">
        <v>PARANÁ</v>
      </c>
      <c r="K195" t="str">
        <v>S/M</v>
      </c>
      <c r="L195">
        <v>15568726</v>
      </c>
    </row>
    <row r="196" spans="2:12" x14ac:dyDescent="0.25">
      <c r="B196" s="20">
        <v>45111</v>
      </c>
      <c r="C196" t="str">
        <v xml:space="preserve">MOREYRA MARTA </v>
      </c>
      <c r="D196">
        <v>63</v>
      </c>
      <c r="E196" t="str">
        <v>SAPETTI</v>
      </c>
      <c r="F196" t="str">
        <v>COXARTROSIS</v>
      </c>
      <c r="G196" t="str">
        <v xml:space="preserve">PTC CEMENTADA </v>
      </c>
      <c r="H196">
        <v>0</v>
      </c>
      <c r="I196" t="str">
        <v>ACEPTADO</v>
      </c>
      <c r="J196" t="str">
        <v>PARANÁ</v>
      </c>
      <c r="K196" t="str">
        <v>S/M</v>
      </c>
      <c r="L196">
        <v>3436221468</v>
      </c>
    </row>
    <row r="197" spans="2:12" x14ac:dyDescent="0.25">
      <c r="B197" s="20">
        <v>45111</v>
      </c>
      <c r="C197" t="str">
        <v>FRANCO LEONARDO</v>
      </c>
      <c r="D197">
        <v>38</v>
      </c>
      <c r="E197" t="str">
        <v>UCEDO</v>
      </c>
      <c r="F197" t="str">
        <v>ARTROSIS</v>
      </c>
      <c r="G197" t="str">
        <v>TORN. ESPONJA P.OSTEO</v>
      </c>
      <c r="H197">
        <v>0</v>
      </c>
      <c r="I197" t="str">
        <v>INICIADO</v>
      </c>
      <c r="J197" t="str">
        <v>PARANÁ</v>
      </c>
      <c r="K197" t="str">
        <v>S/M</v>
      </c>
      <c r="L197">
        <v>155319069</v>
      </c>
    </row>
    <row r="198" spans="2:12" x14ac:dyDescent="0.25">
      <c r="B198" s="20">
        <v>45112</v>
      </c>
      <c r="C198" t="str">
        <v>STTINER VERONICA</v>
      </c>
      <c r="D198">
        <v>76</v>
      </c>
      <c r="E198" t="str">
        <v>UCEDO</v>
      </c>
      <c r="F198" t="str">
        <v xml:space="preserve">FX CADERA </v>
      </c>
      <c r="G198" t="str">
        <v xml:space="preserve">PTC CEMEN/C DOBLE </v>
      </c>
      <c r="H198" t="str">
        <v xml:space="preserve">VILLALBA </v>
      </c>
      <c r="I198" t="str">
        <v>ACEPTADO</v>
      </c>
      <c r="J198" t="str">
        <v>PARANÁ</v>
      </c>
      <c r="K198" t="str">
        <v>PAMI</v>
      </c>
      <c r="L198">
        <v>0</v>
      </c>
    </row>
    <row r="199" spans="2:12" x14ac:dyDescent="0.25">
      <c r="B199" s="20">
        <v>45112</v>
      </c>
      <c r="C199" t="str">
        <v xml:space="preserve">PODVERCICH BRIAN </v>
      </c>
      <c r="D199">
        <v>23</v>
      </c>
      <c r="E199" t="str">
        <v>GARCIA VITOR</v>
      </c>
      <c r="F199" t="str">
        <v xml:space="preserve">LCA </v>
      </c>
      <c r="G199" t="str">
        <v>TORN INTERF/BOTON</v>
      </c>
      <c r="H199" t="str">
        <v xml:space="preserve">VILLALBA </v>
      </c>
      <c r="I199" t="str">
        <v>ACEPTADO</v>
      </c>
      <c r="J199" t="str">
        <v>HASENKAMP</v>
      </c>
      <c r="K199" t="str">
        <v>PAMI</v>
      </c>
      <c r="L199">
        <v>0</v>
      </c>
    </row>
    <row r="200" spans="2:12" x14ac:dyDescent="0.25">
      <c r="B200" s="20">
        <v>45113</v>
      </c>
      <c r="C200" t="str">
        <v xml:space="preserve">ZALAZAR DIANA </v>
      </c>
      <c r="D200">
        <v>49</v>
      </c>
      <c r="E200" t="str">
        <v>CESAR MEYNET</v>
      </c>
      <c r="F200" t="str">
        <v>GENU VARO</v>
      </c>
      <c r="G200" t="str">
        <v>PLACA PUDDU</v>
      </c>
      <c r="H200">
        <v>0</v>
      </c>
      <c r="I200" t="str">
        <v>INICIADO</v>
      </c>
      <c r="J200" t="str">
        <v xml:space="preserve">SANTA ELENA </v>
      </c>
      <c r="K200" t="str">
        <v>S/M</v>
      </c>
      <c r="L200">
        <v>3437417323</v>
      </c>
    </row>
    <row r="201" spans="2:12" x14ac:dyDescent="0.25">
      <c r="B201" s="20">
        <v>45114</v>
      </c>
      <c r="C201" t="str">
        <v>GADEA RUDECINDO</v>
      </c>
      <c r="D201">
        <v>69</v>
      </c>
      <c r="E201" t="str">
        <v>SAPETTI</v>
      </c>
      <c r="F201" t="str">
        <v xml:space="preserve">REVICION </v>
      </c>
      <c r="G201" t="str">
        <v xml:space="preserve">PTC/COT/P.CABLE/TORN </v>
      </c>
      <c r="H201" t="str">
        <v xml:space="preserve">VILLALBA </v>
      </c>
      <c r="I201" t="str">
        <v>ACEPTADO</v>
      </c>
      <c r="J201" t="str">
        <v xml:space="preserve">RAMIREZ </v>
      </c>
      <c r="K201" t="str">
        <v>PAMI</v>
      </c>
      <c r="L201">
        <v>0</v>
      </c>
    </row>
    <row r="202" spans="2:12" x14ac:dyDescent="0.25">
      <c r="B202" s="20">
        <v>45140</v>
      </c>
      <c r="C202" t="str">
        <v>FRANCO LEONARDO</v>
      </c>
      <c r="D202">
        <v>38</v>
      </c>
      <c r="E202" t="str">
        <v>UCEDO</v>
      </c>
      <c r="F202" t="str">
        <v>ART. ASTRAGALO</v>
      </c>
      <c r="G202" t="str">
        <v>P.OSTEOSISNTESIS</v>
      </c>
      <c r="H202">
        <v>0</v>
      </c>
      <c r="I202" t="str">
        <v>ACEPTADO</v>
      </c>
      <c r="J202" t="str">
        <v>PARANÁ</v>
      </c>
      <c r="K202" t="str">
        <v>S/M</v>
      </c>
      <c r="L202">
        <v>155699069</v>
      </c>
    </row>
    <row r="203" spans="2:12" x14ac:dyDescent="0.25">
      <c r="B203" s="20">
        <v>45141</v>
      </c>
      <c r="C203" t="str">
        <v xml:space="preserve">DUARTE ROXANA </v>
      </c>
      <c r="D203">
        <v>42</v>
      </c>
      <c r="E203" t="str">
        <v>CESAR MEYNET</v>
      </c>
      <c r="F203" t="str">
        <v>NOA</v>
      </c>
      <c r="G203" t="str">
        <v>PTC NO CEMENT</v>
      </c>
      <c r="H203">
        <v>0</v>
      </c>
      <c r="I203" t="str">
        <v>ACEPTADO</v>
      </c>
      <c r="J203" t="str">
        <v>VIALE</v>
      </c>
      <c r="K203" t="str">
        <v>S/M</v>
      </c>
      <c r="L203">
        <v>3425042727</v>
      </c>
    </row>
    <row r="204" spans="2:12" x14ac:dyDescent="0.25">
      <c r="B204" s="20">
        <v>45145</v>
      </c>
      <c r="C204" t="str">
        <v xml:space="preserve">SUKMANOWSKI MARIAN </v>
      </c>
      <c r="D204">
        <v>75</v>
      </c>
      <c r="E204" t="str">
        <v>PEÑA TANIA</v>
      </c>
      <c r="F204" t="str">
        <v>FX CADERA</v>
      </c>
      <c r="G204" t="str">
        <v>PTC CEMEN/COTILO</v>
      </c>
      <c r="H204" t="str">
        <v xml:space="preserve">VILLALBA </v>
      </c>
      <c r="I204" t="str">
        <v>ACEPTADO</v>
      </c>
      <c r="J204" t="str">
        <v>PARANÁ</v>
      </c>
      <c r="K204" t="str">
        <v>PAMI</v>
      </c>
      <c r="L204">
        <v>0</v>
      </c>
    </row>
    <row r="205" spans="2:12" x14ac:dyDescent="0.25">
      <c r="B205" s="20">
        <v>45145</v>
      </c>
      <c r="C205" t="str">
        <v xml:space="preserve">CORONEL DORA </v>
      </c>
      <c r="D205">
        <v>71</v>
      </c>
      <c r="E205" t="str">
        <v>PEÑA TANIA</v>
      </c>
      <c r="F205" t="str">
        <v xml:space="preserve">FX MUÑECA </v>
      </c>
      <c r="G205" t="str">
        <v>PLACA EDR</v>
      </c>
      <c r="H205" t="str">
        <v xml:space="preserve">VILLALBA </v>
      </c>
      <c r="I205" t="str">
        <v>ACEPTADO</v>
      </c>
      <c r="J205" t="str">
        <v>PARANÁ</v>
      </c>
      <c r="K205" t="str">
        <v>PAMI</v>
      </c>
      <c r="L205">
        <v>0</v>
      </c>
    </row>
    <row r="206" spans="2:12" x14ac:dyDescent="0.25">
      <c r="B206" s="20">
        <v>45145</v>
      </c>
      <c r="C206" t="str">
        <v xml:space="preserve">SEPPEY STELLA </v>
      </c>
      <c r="D206">
        <v>66</v>
      </c>
      <c r="E206" t="str">
        <v>MERLINI</v>
      </c>
      <c r="F206" t="str">
        <v xml:space="preserve">FX MUÑECA </v>
      </c>
      <c r="G206" t="str">
        <v>PLACA EDR</v>
      </c>
      <c r="H206" t="str">
        <v xml:space="preserve">VILLALBA </v>
      </c>
      <c r="I206" t="str">
        <v>ACEPTADO</v>
      </c>
      <c r="J206" t="str">
        <v>PARANÁ</v>
      </c>
      <c r="K206" t="str">
        <v>PAMI</v>
      </c>
      <c r="L206">
        <v>0</v>
      </c>
    </row>
    <row r="207" spans="2:12" x14ac:dyDescent="0.25">
      <c r="B207" s="20">
        <v>45148</v>
      </c>
      <c r="C207" t="str">
        <v xml:space="preserve">ZAPATA MIRTA </v>
      </c>
      <c r="D207">
        <v>51</v>
      </c>
      <c r="E207" t="str">
        <v>YACOMO</v>
      </c>
      <c r="F207" t="str">
        <v xml:space="preserve">LCA </v>
      </c>
      <c r="G207" t="str">
        <v xml:space="preserve">TORNILL/BOTON </v>
      </c>
      <c r="H207">
        <v>0</v>
      </c>
      <c r="I207" t="str">
        <v>ACEPTADO</v>
      </c>
      <c r="J207" t="str">
        <v>PARANÁ</v>
      </c>
      <c r="K207" t="str">
        <v>S/M</v>
      </c>
      <c r="L207">
        <v>3435301066</v>
      </c>
    </row>
    <row r="208" spans="2:12" x14ac:dyDescent="0.25">
      <c r="B208" s="20">
        <v>45149</v>
      </c>
      <c r="C208" t="str">
        <v xml:space="preserve">OSORIA STELL M </v>
      </c>
      <c r="D208">
        <v>59</v>
      </c>
      <c r="E208" t="str">
        <v xml:space="preserve">URANGA </v>
      </c>
      <c r="F208" t="str">
        <v>C. LUMBAR ESTCH</v>
      </c>
      <c r="G208" t="str">
        <v xml:space="preserve">BARRAS/TORN/CAGE </v>
      </c>
      <c r="H208">
        <v>0</v>
      </c>
      <c r="I208" t="str">
        <v>ACEPTADO</v>
      </c>
      <c r="J208" t="str">
        <v>PARANÁ</v>
      </c>
      <c r="K208" t="str">
        <v>S/M</v>
      </c>
      <c r="L208">
        <v>3436201996</v>
      </c>
    </row>
    <row r="209" spans="2:12" x14ac:dyDescent="0.25">
      <c r="B209" s="20">
        <v>45154</v>
      </c>
      <c r="C209" t="str">
        <v xml:space="preserve">ROTELA WALTER </v>
      </c>
      <c r="D209">
        <v>25</v>
      </c>
      <c r="E209" t="str">
        <v xml:space="preserve">HERMIDA </v>
      </c>
      <c r="F209" t="str">
        <v xml:space="preserve">LCA </v>
      </c>
      <c r="G209" t="str">
        <v xml:space="preserve">TORNILL/BOTON </v>
      </c>
      <c r="H209">
        <v>0</v>
      </c>
      <c r="I209" t="str">
        <v>ACEPTADO</v>
      </c>
      <c r="J209" t="str">
        <v>PARANÁ</v>
      </c>
      <c r="K209" t="str">
        <v>S/M</v>
      </c>
      <c r="L209">
        <v>0</v>
      </c>
    </row>
    <row r="210" spans="2:12" x14ac:dyDescent="0.25">
      <c r="B210" s="20">
        <v>45154</v>
      </c>
      <c r="C210" t="str">
        <v>GOROSITO GASPAR</v>
      </c>
      <c r="D210">
        <v>21</v>
      </c>
      <c r="E210" t="str">
        <v xml:space="preserve">HERMIDA </v>
      </c>
      <c r="F210" t="str">
        <v xml:space="preserve">LCA </v>
      </c>
      <c r="G210" t="str">
        <v xml:space="preserve">TORNILL/BOTON </v>
      </c>
      <c r="H210">
        <v>0</v>
      </c>
      <c r="I210" t="str">
        <v>ACEPTADO</v>
      </c>
      <c r="J210" t="str">
        <v>PARANÁ</v>
      </c>
      <c r="K210" t="str">
        <v>S/M</v>
      </c>
      <c r="L210">
        <v>0</v>
      </c>
    </row>
    <row r="211" spans="2:12" x14ac:dyDescent="0.25">
      <c r="B211" s="20">
        <v>45155</v>
      </c>
      <c r="C211" t="str">
        <v xml:space="preserve">VILLAVERDE FATIMA </v>
      </c>
      <c r="D211">
        <v>23</v>
      </c>
      <c r="E211" t="str">
        <v>YACOMO</v>
      </c>
      <c r="F211" t="str">
        <v xml:space="preserve">LCA </v>
      </c>
      <c r="G211" t="str">
        <v xml:space="preserve">TORNILL/BOTON </v>
      </c>
      <c r="H211">
        <v>0</v>
      </c>
      <c r="I211" t="str">
        <v>INICIADO</v>
      </c>
      <c r="J211" t="str">
        <v xml:space="preserve">SEGUI </v>
      </c>
      <c r="K211" t="str">
        <v>S/M</v>
      </c>
      <c r="L211">
        <v>3435178408</v>
      </c>
    </row>
    <row r="212" spans="2:12" x14ac:dyDescent="0.25">
      <c r="B212" s="20">
        <v>45155</v>
      </c>
      <c r="C212" t="str">
        <v xml:space="preserve">FORGEZ LORENZA </v>
      </c>
      <c r="D212">
        <v>61</v>
      </c>
      <c r="E212" t="str">
        <v>MERLINI</v>
      </c>
      <c r="F212" t="str">
        <v>FX CADERA</v>
      </c>
      <c r="G212" t="str">
        <v xml:space="preserve">PTC HIBRIDA </v>
      </c>
      <c r="H212" t="str">
        <v xml:space="preserve">IP MAGNA </v>
      </c>
      <c r="I212" t="str">
        <v>ACEPTADO</v>
      </c>
      <c r="J212" t="str">
        <v>PARANÁ</v>
      </c>
      <c r="K212" t="str">
        <v>PAMI</v>
      </c>
      <c r="L212">
        <v>0</v>
      </c>
    </row>
    <row r="213" spans="2:12" x14ac:dyDescent="0.25">
      <c r="B213" s="20">
        <v>45155</v>
      </c>
      <c r="C213" t="str">
        <v>BECKER MERCEDES</v>
      </c>
      <c r="D213">
        <v>57</v>
      </c>
      <c r="E213" t="str">
        <v>MERLINI</v>
      </c>
      <c r="F213" t="str">
        <v xml:space="preserve">FX MUÑECA </v>
      </c>
      <c r="G213" t="str">
        <v>PLACA EDR</v>
      </c>
      <c r="H213" t="str">
        <v xml:space="preserve">VILLALBA </v>
      </c>
      <c r="I213" t="str">
        <v>ACEPTADO</v>
      </c>
      <c r="J213" t="str">
        <v>PARANÁ</v>
      </c>
      <c r="K213" t="str">
        <v>PAMI</v>
      </c>
      <c r="L213">
        <v>0</v>
      </c>
    </row>
    <row r="214" spans="2:12" x14ac:dyDescent="0.25">
      <c r="B214" s="20">
        <v>45156</v>
      </c>
      <c r="C214" t="str">
        <v xml:space="preserve">BARRIOS YOLANDA </v>
      </c>
      <c r="D214">
        <v>66</v>
      </c>
      <c r="E214" t="str">
        <v>MERLINI</v>
      </c>
      <c r="F214" t="str">
        <v>FX HUMERO</v>
      </c>
      <c r="G214" t="str">
        <v xml:space="preserve">PLACA PHILOS </v>
      </c>
      <c r="H214" t="str">
        <v xml:space="preserve">VILLALBA </v>
      </c>
      <c r="I214" t="str">
        <v>ACEPTADO</v>
      </c>
      <c r="J214" t="str">
        <v>PARANÁ</v>
      </c>
      <c r="K214" t="str">
        <v>PAMI</v>
      </c>
      <c r="L214">
        <v>0</v>
      </c>
    </row>
    <row r="215" spans="2:12" x14ac:dyDescent="0.25">
      <c r="B215" s="20">
        <v>45156</v>
      </c>
      <c r="C215" t="str">
        <v>CORVALAN MABEL</v>
      </c>
      <c r="D215">
        <v>62</v>
      </c>
      <c r="E215" t="str">
        <v>GARCIA VITOR</v>
      </c>
      <c r="F215" t="str">
        <v xml:space="preserve">COXARTROSIS </v>
      </c>
      <c r="G215" t="str">
        <v xml:space="preserve">PTC HIBRIDA </v>
      </c>
      <c r="H215" t="str">
        <v xml:space="preserve">IP MAGNA </v>
      </c>
      <c r="I215" t="str">
        <v>ACEPTADO</v>
      </c>
      <c r="J215" t="str">
        <v>PARANÁ</v>
      </c>
      <c r="K215" t="str">
        <v>PAMI</v>
      </c>
      <c r="L215">
        <v>0</v>
      </c>
    </row>
    <row r="216" spans="2:12" x14ac:dyDescent="0.25">
      <c r="B216" s="20">
        <v>45156</v>
      </c>
      <c r="C216" t="str">
        <v xml:space="preserve">GORO LIDIA </v>
      </c>
      <c r="D216">
        <v>59</v>
      </c>
      <c r="E216" t="str">
        <v>MERLINI</v>
      </c>
      <c r="F216" t="str">
        <v xml:space="preserve">FX MUÑECA </v>
      </c>
      <c r="G216" t="str">
        <v>PLACA VOLAR</v>
      </c>
      <c r="H216" t="str">
        <v xml:space="preserve">VILLALBA </v>
      </c>
      <c r="I216" t="str">
        <v>ACEPTADO</v>
      </c>
      <c r="J216" t="str">
        <v>PARANÁ</v>
      </c>
      <c r="K216" t="str">
        <v>PAMI</v>
      </c>
      <c r="L216">
        <v>0</v>
      </c>
    </row>
    <row r="217" spans="2:12" x14ac:dyDescent="0.25">
      <c r="B217" s="20">
        <v>45157</v>
      </c>
      <c r="C217" t="str">
        <v>SOSAYA JUAN FRANCISCO</v>
      </c>
      <c r="D217">
        <v>63</v>
      </c>
      <c r="E217" t="str">
        <v>GARCIA VITOR</v>
      </c>
      <c r="F217" t="str">
        <v>FX CADERA</v>
      </c>
      <c r="G217" t="str">
        <v>PPC BIPOLAR</v>
      </c>
      <c r="H217" t="str">
        <v xml:space="preserve">IP MAGNA </v>
      </c>
      <c r="I217" t="str">
        <v>ACEPTADO</v>
      </c>
      <c r="J217" t="str">
        <v>PARANÁ</v>
      </c>
      <c r="K217" t="str">
        <v>PAMI</v>
      </c>
      <c r="L217">
        <v>0</v>
      </c>
    </row>
    <row r="218" spans="2:12" x14ac:dyDescent="0.25">
      <c r="B218" s="20">
        <v>45157</v>
      </c>
      <c r="C218" t="str">
        <v xml:space="preserve">REINOSO VICTOR </v>
      </c>
      <c r="D218">
        <v>56</v>
      </c>
      <c r="E218" t="str">
        <v>GARCIA VITOR</v>
      </c>
      <c r="F218" t="str">
        <v xml:space="preserve">COXARTROSIS </v>
      </c>
      <c r="G218" t="str">
        <v xml:space="preserve">RTC NO CEMENT </v>
      </c>
      <c r="H218" t="str">
        <v xml:space="preserve">IP MAGNA </v>
      </c>
      <c r="I218" t="str">
        <v>ACEPTADO</v>
      </c>
      <c r="J218" t="str">
        <v>PARANÁ</v>
      </c>
      <c r="K218" t="str">
        <v>PAMI</v>
      </c>
      <c r="L218">
        <v>3435000272</v>
      </c>
    </row>
    <row r="219" spans="2:12" x14ac:dyDescent="0.25">
      <c r="B219" s="20">
        <v>45160</v>
      </c>
      <c r="C219" t="str">
        <v>LOPEZ IGNACIO</v>
      </c>
      <c r="D219">
        <v>67</v>
      </c>
      <c r="E219" t="str">
        <v>MERLINI</v>
      </c>
      <c r="F219" t="str">
        <v xml:space="preserve">FX TIBIA-PERONE </v>
      </c>
      <c r="G219" t="str">
        <v>CLAVO GAMMA</v>
      </c>
      <c r="H219" t="str">
        <v xml:space="preserve">VILLALBA </v>
      </c>
      <c r="I219" t="str">
        <v>ACEPTADO</v>
      </c>
      <c r="J219" t="str">
        <v>PARANÁ</v>
      </c>
      <c r="K219" t="str">
        <v>PAMI</v>
      </c>
      <c r="L219">
        <v>0</v>
      </c>
    </row>
    <row r="220" spans="2:12" x14ac:dyDescent="0.25">
      <c r="B220" s="20">
        <v>45160</v>
      </c>
      <c r="C220" t="str">
        <v>BOVIER SILVANO</v>
      </c>
      <c r="D220">
        <v>82</v>
      </c>
      <c r="E220" t="str">
        <v>MERLINI</v>
      </c>
      <c r="F220" t="str">
        <v>FX CADERA</v>
      </c>
      <c r="G220" t="str">
        <v>CLAVO GAMMA</v>
      </c>
      <c r="H220" t="str">
        <v xml:space="preserve">VILLALBA </v>
      </c>
      <c r="I220" t="str">
        <v>ACEPTADO</v>
      </c>
      <c r="J220" t="str">
        <v>PARANÁ</v>
      </c>
      <c r="K220" t="str">
        <v>PAMI</v>
      </c>
      <c r="L220">
        <v>0</v>
      </c>
    </row>
    <row r="221" spans="2:12" x14ac:dyDescent="0.25">
      <c r="B221" s="20">
        <v>45162</v>
      </c>
      <c r="C221" t="str">
        <v>ARCE EUFEMIO</v>
      </c>
      <c r="D221">
        <v>70</v>
      </c>
      <c r="E221" t="str">
        <v>YACOMO</v>
      </c>
      <c r="F221" t="str">
        <v>GENU VARO</v>
      </c>
      <c r="G221" t="str">
        <v xml:space="preserve">PTR ANATOMICA </v>
      </c>
      <c r="H221" t="str">
        <v xml:space="preserve">IP MAGNA </v>
      </c>
      <c r="I221" t="str">
        <v>ACEPTADO</v>
      </c>
      <c r="J221" t="str">
        <v>PARANÁ</v>
      </c>
      <c r="K221" t="str">
        <v>PAMI</v>
      </c>
      <c r="L221">
        <v>0</v>
      </c>
    </row>
    <row r="222" spans="2:12" x14ac:dyDescent="0.25">
      <c r="B222" s="20">
        <v>45162</v>
      </c>
      <c r="C222" t="str">
        <v>GOMEZ MARIO</v>
      </c>
      <c r="D222">
        <v>68</v>
      </c>
      <c r="E222" t="str">
        <v>STOPELLO</v>
      </c>
      <c r="F222" t="str">
        <v>GENU VARO</v>
      </c>
      <c r="G222" t="str">
        <v xml:space="preserve">PTR ANATOMICA </v>
      </c>
      <c r="H222" t="str">
        <v xml:space="preserve">IP MAGNA </v>
      </c>
      <c r="I222" t="str">
        <v>ACEPTADO</v>
      </c>
      <c r="J222" t="str">
        <v>PARANÁ</v>
      </c>
      <c r="K222" t="str">
        <v>PAMI</v>
      </c>
      <c r="L222">
        <v>0</v>
      </c>
    </row>
    <row r="223" spans="2:12" x14ac:dyDescent="0.25">
      <c r="B223" s="20">
        <v>45166</v>
      </c>
      <c r="C223" t="str">
        <v xml:space="preserve">CABRERA ROGELIA </v>
      </c>
      <c r="D223">
        <v>89</v>
      </c>
      <c r="E223" t="str">
        <v>UCEDO</v>
      </c>
      <c r="F223" t="str">
        <v>FX CADERA</v>
      </c>
      <c r="G223" t="str">
        <v>CLAVO GAMMA</v>
      </c>
      <c r="H223" t="str">
        <v xml:space="preserve">VILLALBA </v>
      </c>
      <c r="I223" t="str">
        <v>ACEPTADO</v>
      </c>
      <c r="J223" t="str">
        <v>PARANÁ</v>
      </c>
      <c r="K223" t="str">
        <v>PAMI</v>
      </c>
      <c r="L223">
        <v>0</v>
      </c>
    </row>
    <row r="224" spans="2:12" x14ac:dyDescent="0.25">
      <c r="B224" s="20">
        <v>45166</v>
      </c>
      <c r="C224" t="str">
        <v xml:space="preserve">VERGARA RAMONA </v>
      </c>
      <c r="D224">
        <v>73</v>
      </c>
      <c r="E224" t="str">
        <v>NARVAEZ</v>
      </c>
      <c r="F224" t="str">
        <v>HALLUX VALGO</v>
      </c>
      <c r="G224" t="str">
        <v>TOR HERBERT</v>
      </c>
      <c r="H224" t="str">
        <v xml:space="preserve">VILLALBA </v>
      </c>
      <c r="I224" t="str">
        <v>ACEPTADO</v>
      </c>
      <c r="J224" t="str">
        <v>PARANÁ</v>
      </c>
      <c r="K224" t="str">
        <v>PAMI</v>
      </c>
      <c r="L224">
        <v>0</v>
      </c>
    </row>
    <row r="225" spans="2:12" x14ac:dyDescent="0.25">
      <c r="B225" s="20">
        <v>45166</v>
      </c>
      <c r="C225" t="str">
        <v xml:space="preserve">SILVA ANA MARIA </v>
      </c>
      <c r="D225">
        <v>68</v>
      </c>
      <c r="E225" t="str">
        <v>UCEDO</v>
      </c>
      <c r="F225" t="str">
        <v>GONARTROSIS</v>
      </c>
      <c r="G225" t="str">
        <v>RTR ANATOMICA</v>
      </c>
      <c r="H225" t="str">
        <v xml:space="preserve">IP MAGNA </v>
      </c>
      <c r="I225" t="str">
        <v>ACEPTADO</v>
      </c>
      <c r="J225" t="str">
        <v>PARANÁ</v>
      </c>
      <c r="K225" t="str">
        <v>PAMI</v>
      </c>
      <c r="L225">
        <v>0</v>
      </c>
    </row>
    <row r="226" spans="2:12" x14ac:dyDescent="0.25">
      <c r="B226" s="20">
        <v>45166</v>
      </c>
      <c r="C226" t="str">
        <v>VILLAGRA JOSE</v>
      </c>
      <c r="D226">
        <v>71</v>
      </c>
      <c r="E226" t="str">
        <v>UCEDO</v>
      </c>
      <c r="F226" t="str">
        <v xml:space="preserve">COXARTROSIS </v>
      </c>
      <c r="G226" t="str">
        <v>PTC CEMEN/COTILO</v>
      </c>
      <c r="H226" t="str">
        <v xml:space="preserve">VILLALBA </v>
      </c>
      <c r="I226" t="str">
        <v>ACEPTADO</v>
      </c>
      <c r="J226" t="str">
        <v>PARANÁ</v>
      </c>
      <c r="K226" t="str">
        <v>PAMI</v>
      </c>
      <c r="L226">
        <v>0</v>
      </c>
    </row>
    <row r="227" spans="2:12" x14ac:dyDescent="0.25">
      <c r="B227" s="20">
        <v>45166</v>
      </c>
      <c r="C227" t="str">
        <v xml:space="preserve">FERREYRA MARIA DEL CARMEN </v>
      </c>
      <c r="D227">
        <v>60</v>
      </c>
      <c r="E227" t="str">
        <v>STOPELLO</v>
      </c>
      <c r="F227" t="str">
        <v>GONARTROSIS</v>
      </c>
      <c r="G227" t="str">
        <v>RTR ANATOMICA</v>
      </c>
      <c r="H227" t="str">
        <v xml:space="preserve">IP MAGNA </v>
      </c>
      <c r="I227" t="str">
        <v>ACEPTADO</v>
      </c>
      <c r="J227" t="str">
        <v>PARANÁ</v>
      </c>
      <c r="K227" t="str">
        <v>PAMI</v>
      </c>
      <c r="L227">
        <v>0</v>
      </c>
    </row>
    <row r="228" spans="2:12" x14ac:dyDescent="0.25">
      <c r="B228" s="20">
        <v>45167</v>
      </c>
      <c r="C228" t="str">
        <v>ARRUA JUANA</v>
      </c>
      <c r="D228">
        <v>75</v>
      </c>
      <c r="E228" t="str">
        <v>MERLINI</v>
      </c>
      <c r="F228" t="str">
        <v>FX CADERA</v>
      </c>
      <c r="G228" t="str">
        <v>PTC CEMEN/COTILO</v>
      </c>
      <c r="H228" t="str">
        <v xml:space="preserve">VILLALBA </v>
      </c>
      <c r="I228" t="str">
        <v>ACEPTADO</v>
      </c>
      <c r="J228" t="str">
        <v>PARANÁ</v>
      </c>
      <c r="K228" t="str">
        <v>PAMI</v>
      </c>
      <c r="L228">
        <v>0</v>
      </c>
    </row>
    <row r="229" spans="2:12" x14ac:dyDescent="0.25">
      <c r="B229" s="20">
        <v>45169</v>
      </c>
      <c r="C229" t="str">
        <v xml:space="preserve">CHARVEY ELSA </v>
      </c>
      <c r="D229">
        <v>63</v>
      </c>
      <c r="E229" t="str">
        <v>STOPELLO</v>
      </c>
      <c r="F229" t="str">
        <v>GONARTROSIS</v>
      </c>
      <c r="G229" t="str">
        <v xml:space="preserve">PTR ANATOMICA </v>
      </c>
      <c r="H229" t="str">
        <v xml:space="preserve">IP MAGNA </v>
      </c>
      <c r="I229" t="str">
        <v>ACEPTADO</v>
      </c>
      <c r="J229" t="str">
        <v>PARANÁ</v>
      </c>
      <c r="K229" t="str">
        <v>PAMI</v>
      </c>
      <c r="L229">
        <v>0</v>
      </c>
    </row>
    <row r="230" spans="2:12" x14ac:dyDescent="0.25">
      <c r="B230" s="20">
        <v>45169</v>
      </c>
      <c r="C230" t="str">
        <v>FONTANA ESTHER</v>
      </c>
      <c r="D230">
        <v>75</v>
      </c>
      <c r="E230" t="str">
        <v>GARCIA VITOR</v>
      </c>
      <c r="F230" t="str">
        <v xml:space="preserve">FALLA OSTEOS </v>
      </c>
      <c r="G230" t="str">
        <v>TALLO/COTILO</v>
      </c>
      <c r="H230" t="str">
        <v xml:space="preserve">IP MAGNA </v>
      </c>
      <c r="I230" t="str">
        <v>ACEPTADO</v>
      </c>
      <c r="J230" t="str">
        <v>PARANÁ</v>
      </c>
      <c r="K230" t="str">
        <v>PAMI</v>
      </c>
      <c r="L230">
        <v>0</v>
      </c>
    </row>
    <row r="231" spans="2:12" x14ac:dyDescent="0.25">
      <c r="B231" s="20">
        <v>45169</v>
      </c>
      <c r="C231" t="str">
        <v xml:space="preserve">GUTIERREZ DORALISA </v>
      </c>
      <c r="D231">
        <v>66</v>
      </c>
      <c r="E231" t="str">
        <v>SUKSDORF</v>
      </c>
      <c r="F231" t="str">
        <v>GONARTROSIS</v>
      </c>
      <c r="G231" t="str">
        <v>RTR ANATM. MODUL</v>
      </c>
      <c r="H231" t="str">
        <v xml:space="preserve">IP MAGNA </v>
      </c>
      <c r="I231" t="str">
        <v>ACEPTADO</v>
      </c>
      <c r="J231" t="str">
        <v>PARANÁ</v>
      </c>
      <c r="K231" t="str">
        <v>PAMI</v>
      </c>
      <c r="L231">
        <v>0</v>
      </c>
    </row>
    <row r="232" spans="2:12" x14ac:dyDescent="0.25">
      <c r="B232" s="20">
        <v>45170</v>
      </c>
      <c r="C232" t="str">
        <v xml:space="preserve">RIOS GRGORIA </v>
      </c>
      <c r="D232">
        <v>72</v>
      </c>
      <c r="E232" t="str">
        <v>GARCIA VITOR</v>
      </c>
      <c r="F232" t="str">
        <v>GONARTROSIS</v>
      </c>
      <c r="G232" t="str">
        <v>RTR ANATOM. MODULAR</v>
      </c>
      <c r="H232" t="str">
        <v>VILLALBA</v>
      </c>
      <c r="I232" t="str">
        <v>ACEPTADO</v>
      </c>
      <c r="J232" t="str">
        <v>PARANÁ</v>
      </c>
      <c r="K232" t="str">
        <v>PAMI</v>
      </c>
      <c r="L232">
        <v>0</v>
      </c>
    </row>
    <row r="233" spans="2:12" x14ac:dyDescent="0.25">
      <c r="B233" s="20">
        <v>45175</v>
      </c>
      <c r="C233" t="str">
        <v>GIMENEZ CLAUDIO</v>
      </c>
      <c r="D233">
        <v>47</v>
      </c>
      <c r="E233" t="str">
        <v>SAPETTI</v>
      </c>
      <c r="F233">
        <v>0</v>
      </c>
      <c r="G233" t="str">
        <v>CLAVO ENDM.PARA TIBIA</v>
      </c>
      <c r="H233">
        <v>0</v>
      </c>
      <c r="I233" t="str">
        <v>ACEPTADO</v>
      </c>
      <c r="J233" t="str">
        <v>PARANÁ</v>
      </c>
      <c r="K233" t="str">
        <v>S/M</v>
      </c>
      <c r="L233">
        <v>0</v>
      </c>
    </row>
    <row r="234" spans="2:12" x14ac:dyDescent="0.25">
      <c r="B234" s="20">
        <v>45175</v>
      </c>
      <c r="C234" t="str">
        <v>MANETTI MIGUEL ANGEL</v>
      </c>
      <c r="D234">
        <v>69</v>
      </c>
      <c r="E234" t="str">
        <v>SAPETTI</v>
      </c>
      <c r="F234" t="str">
        <v xml:space="preserve">FALLA OSTEOS </v>
      </c>
      <c r="G234" t="str">
        <v>PTR PRIMARIO</v>
      </c>
      <c r="H234" t="str">
        <v xml:space="preserve">IP MAGNA </v>
      </c>
      <c r="I234" t="str">
        <v>ACEPTADO</v>
      </c>
      <c r="J234" t="str">
        <v>PARANÁ</v>
      </c>
      <c r="K234" t="str">
        <v>PAMI</v>
      </c>
      <c r="L234">
        <v>0</v>
      </c>
    </row>
    <row r="235" spans="2:12" x14ac:dyDescent="0.25">
      <c r="B235" s="20">
        <v>45176</v>
      </c>
      <c r="C235" t="str">
        <v>TOCHI ANDRES</v>
      </c>
      <c r="D235">
        <v>73</v>
      </c>
      <c r="E235" t="str">
        <v>SAPETTI</v>
      </c>
      <c r="F235" t="str">
        <v>ARTROSIS</v>
      </c>
      <c r="G235" t="str">
        <v>PTR HIBRIDA</v>
      </c>
      <c r="H235" t="str">
        <v>VILLALBA</v>
      </c>
      <c r="I235" t="str">
        <v>ACEPTADO</v>
      </c>
      <c r="J235" t="str">
        <v>PARANÁ</v>
      </c>
      <c r="K235" t="str">
        <v>PAMI</v>
      </c>
      <c r="L235">
        <v>0</v>
      </c>
    </row>
    <row r="236" spans="2:12" x14ac:dyDescent="0.25">
      <c r="B236" s="20">
        <v>45176</v>
      </c>
      <c r="C236" t="str">
        <v xml:space="preserve">DEMARTIN ANIBAL </v>
      </c>
      <c r="D236">
        <v>44</v>
      </c>
      <c r="E236" t="str">
        <v>STOPELLO</v>
      </c>
      <c r="F236" t="str">
        <v>ARTROSIS</v>
      </c>
      <c r="G236" t="str">
        <v>PTC NO CEMENT</v>
      </c>
      <c r="H236">
        <v>0</v>
      </c>
      <c r="I236" t="str">
        <v>ACEPTADO</v>
      </c>
      <c r="J236" t="str">
        <v>PARANÁ</v>
      </c>
      <c r="K236" t="str">
        <v>S/M</v>
      </c>
      <c r="L236">
        <v>0</v>
      </c>
    </row>
    <row r="237" spans="2:12" x14ac:dyDescent="0.25">
      <c r="B237" s="20">
        <v>45176</v>
      </c>
      <c r="C237" t="str">
        <v xml:space="preserve">GOMEZ BLANCA </v>
      </c>
      <c r="D237">
        <v>47</v>
      </c>
      <c r="E237" t="str">
        <v>STOPELLO</v>
      </c>
      <c r="F237" t="str">
        <v>ARTROSIS</v>
      </c>
      <c r="G237" t="str">
        <v xml:space="preserve">PTR ANATOMICA </v>
      </c>
      <c r="H237">
        <v>0</v>
      </c>
      <c r="I237" t="str">
        <v>ACEPTADO</v>
      </c>
      <c r="J237" t="str">
        <v>PARANÁ</v>
      </c>
      <c r="K237" t="str">
        <v>S/M</v>
      </c>
      <c r="L237">
        <v>0</v>
      </c>
    </row>
    <row r="238" spans="2:12" x14ac:dyDescent="0.25">
      <c r="B238" s="20">
        <v>45177</v>
      </c>
      <c r="C238" t="str">
        <v xml:space="preserve">DAVOLI MARIA </v>
      </c>
      <c r="D238">
        <v>64</v>
      </c>
      <c r="E238" t="str">
        <v>COLLOMB</v>
      </c>
      <c r="F238" t="str">
        <v>FX CADERA</v>
      </c>
      <c r="G238" t="str">
        <v>CLAVO GAMMA</v>
      </c>
      <c r="H238">
        <v>0</v>
      </c>
      <c r="I238" t="str">
        <v>OPERADO</v>
      </c>
      <c r="J238" t="str">
        <v>PARANÁ</v>
      </c>
      <c r="K238" t="str">
        <v>S/M</v>
      </c>
      <c r="L238">
        <v>0</v>
      </c>
    </row>
    <row r="239" spans="2:12" x14ac:dyDescent="0.25">
      <c r="B239" s="20">
        <v>45180</v>
      </c>
      <c r="C239" t="str">
        <v>VILLAGRA CAMILA</v>
      </c>
      <c r="D239">
        <v>18</v>
      </c>
      <c r="E239" t="str">
        <v>COLLOMB</v>
      </c>
      <c r="F239" t="str">
        <v>FX TIBIA</v>
      </c>
      <c r="G239" t="str">
        <v>CLAVO ENDOM. ACERROJ</v>
      </c>
      <c r="H239">
        <v>0</v>
      </c>
      <c r="I239" t="str">
        <v>ACEPTADO</v>
      </c>
      <c r="J239" t="str">
        <v>PARANÁ</v>
      </c>
      <c r="K239" t="str">
        <v>S/M</v>
      </c>
      <c r="L239">
        <v>0</v>
      </c>
    </row>
    <row r="240" spans="2:12" x14ac:dyDescent="0.25">
      <c r="B240" s="20">
        <v>45180</v>
      </c>
      <c r="C240" t="str">
        <v xml:space="preserve">IBARRA CARLOS </v>
      </c>
      <c r="D240">
        <v>22</v>
      </c>
      <c r="E240" t="str">
        <v>COLLOMB</v>
      </c>
      <c r="F240" t="str">
        <v>FX TIBIA</v>
      </c>
      <c r="G240" t="str">
        <v>CLACO ENDOM. ACERROJ</v>
      </c>
      <c r="H240">
        <v>0</v>
      </c>
      <c r="I240" t="str">
        <v>ACEPTADO</v>
      </c>
      <c r="J240" t="str">
        <v>PARANÁ</v>
      </c>
      <c r="K240" t="str">
        <v>S/M</v>
      </c>
      <c r="L240">
        <v>0</v>
      </c>
    </row>
    <row r="241" spans="2:12" x14ac:dyDescent="0.25">
      <c r="B241" s="20">
        <v>45180</v>
      </c>
      <c r="C241" t="str">
        <v xml:space="preserve">GODOY BLANCA </v>
      </c>
      <c r="D241">
        <v>74</v>
      </c>
      <c r="E241" t="str">
        <v xml:space="preserve">URANGA </v>
      </c>
      <c r="F241" t="str">
        <v>ESCOLIOSIS</v>
      </c>
      <c r="G241" t="str">
        <v>SIS.FIJ.LUMBO-SACRO</v>
      </c>
      <c r="H241" t="str">
        <v>VILLALBA</v>
      </c>
      <c r="I241" t="str">
        <v>ACEPTADO</v>
      </c>
      <c r="J241" t="str">
        <v>PARANÁ</v>
      </c>
      <c r="K241" t="str">
        <v>PAMI</v>
      </c>
      <c r="L241">
        <v>0</v>
      </c>
    </row>
    <row r="242" spans="2:12" x14ac:dyDescent="0.25">
      <c r="B242" s="20">
        <v>45180</v>
      </c>
      <c r="C242" t="str">
        <v xml:space="preserve">RODRIGUEZ MARIA ESTELA </v>
      </c>
      <c r="D242">
        <v>68</v>
      </c>
      <c r="E242" t="str">
        <v>SUKSDORF</v>
      </c>
      <c r="F242" t="str">
        <v xml:space="preserve">OMALGIA </v>
      </c>
      <c r="G242" t="str">
        <v>ARPONES</v>
      </c>
      <c r="H242" t="str">
        <v>VILLALBA</v>
      </c>
      <c r="I242" t="str">
        <v>ACEPTADO</v>
      </c>
      <c r="J242" t="str">
        <v>PARANÁ</v>
      </c>
      <c r="K242" t="str">
        <v>PAMI</v>
      </c>
      <c r="L242">
        <v>0</v>
      </c>
    </row>
    <row r="243" spans="2:12" x14ac:dyDescent="0.25">
      <c r="B243" s="20">
        <v>45180</v>
      </c>
      <c r="C243" t="str">
        <v xml:space="preserve">ALVAREZ JESICA </v>
      </c>
      <c r="D243">
        <v>25</v>
      </c>
      <c r="E243" t="str">
        <v>CESAR MEYNET</v>
      </c>
      <c r="F243" t="str">
        <v xml:space="preserve">LCA </v>
      </c>
      <c r="G243" t="str">
        <v xml:space="preserve">TORNILL/BOTON </v>
      </c>
      <c r="H243">
        <v>0</v>
      </c>
      <c r="I243" t="str">
        <v>INICIADO</v>
      </c>
      <c r="J243" t="str">
        <v xml:space="preserve">SANTA ELENA </v>
      </c>
      <c r="K243" t="str">
        <v>S/M</v>
      </c>
      <c r="L243">
        <v>0</v>
      </c>
    </row>
    <row r="244" spans="2:12" x14ac:dyDescent="0.25">
      <c r="B244" s="20">
        <v>45181</v>
      </c>
      <c r="C244" t="str">
        <v xml:space="preserve">PEREYRA RAMON </v>
      </c>
      <c r="D244">
        <v>60</v>
      </c>
      <c r="E244" t="str">
        <v>VENTURI</v>
      </c>
      <c r="F244" t="str">
        <v>L MANG. ROT</v>
      </c>
      <c r="G244" t="str">
        <v>ARPONES</v>
      </c>
      <c r="H244">
        <v>0</v>
      </c>
      <c r="I244" t="str">
        <v>ACEPTADO</v>
      </c>
      <c r="J244" t="str">
        <v>PARANÁ</v>
      </c>
      <c r="K244" t="str">
        <v>S/M</v>
      </c>
      <c r="L244">
        <v>0</v>
      </c>
    </row>
    <row r="245" spans="2:12" x14ac:dyDescent="0.25">
      <c r="B245" s="20">
        <v>45181</v>
      </c>
      <c r="C245" t="str">
        <v xml:space="preserve">VELAZQUEZ SUSANA </v>
      </c>
      <c r="D245">
        <v>24</v>
      </c>
      <c r="E245" t="str">
        <v>COLLOMB</v>
      </c>
      <c r="F245" t="str">
        <v>FX HUMERO</v>
      </c>
      <c r="G245" t="str">
        <v xml:space="preserve">PLACA PHILOS </v>
      </c>
      <c r="H245">
        <v>0</v>
      </c>
      <c r="I245" t="str">
        <v>ACEPTADO</v>
      </c>
      <c r="J245" t="str">
        <v>PARANÁ</v>
      </c>
      <c r="K245" t="str">
        <v>S/M</v>
      </c>
      <c r="L245">
        <v>0</v>
      </c>
    </row>
    <row r="246" spans="2:12" x14ac:dyDescent="0.25">
      <c r="B246" s="20">
        <v>45181</v>
      </c>
      <c r="C246" t="str">
        <v>GRANDOLI MICAELA</v>
      </c>
      <c r="D246">
        <v>74</v>
      </c>
      <c r="E246" t="str">
        <v>SAPETTI</v>
      </c>
      <c r="F246" t="str">
        <v>HALLUX VALGO</v>
      </c>
      <c r="G246" t="str">
        <v>PLACA VOLAR</v>
      </c>
      <c r="H246" t="str">
        <v xml:space="preserve">VILLALBA </v>
      </c>
      <c r="I246" t="str">
        <v>ACEPTADO</v>
      </c>
      <c r="J246" t="str">
        <v>PARANÁ</v>
      </c>
      <c r="K246" t="str">
        <v>PAMI</v>
      </c>
      <c r="L246">
        <v>0</v>
      </c>
    </row>
    <row r="247" spans="2:12" x14ac:dyDescent="0.25">
      <c r="B247" s="20">
        <v>45182</v>
      </c>
      <c r="C247" t="str">
        <v xml:space="preserve">FONSECA AMPARO </v>
      </c>
      <c r="D247">
        <v>24</v>
      </c>
      <c r="E247" t="str">
        <v xml:space="preserve">HERMIDA </v>
      </c>
      <c r="F247" t="str">
        <v xml:space="preserve">LCA </v>
      </c>
      <c r="G247" t="str">
        <v xml:space="preserve">TORNILL/BOTON </v>
      </c>
      <c r="H247">
        <v>0</v>
      </c>
      <c r="I247" t="str">
        <v>INICIADO</v>
      </c>
      <c r="J247" t="str">
        <v>PARANÁ</v>
      </c>
      <c r="K247" t="str">
        <v>S/M</v>
      </c>
      <c r="L247">
        <v>0</v>
      </c>
    </row>
    <row r="248" spans="2:12" x14ac:dyDescent="0.25">
      <c r="B248" s="20">
        <v>45182</v>
      </c>
      <c r="C248" t="str">
        <v xml:space="preserve">MANA ROQUE </v>
      </c>
      <c r="D248">
        <v>27</v>
      </c>
      <c r="E248" t="str">
        <v xml:space="preserve">HERMIDA </v>
      </c>
      <c r="F248" t="str">
        <v xml:space="preserve">LCA </v>
      </c>
      <c r="G248" t="str">
        <v xml:space="preserve">TORNILL/BOTON </v>
      </c>
      <c r="H248">
        <v>0</v>
      </c>
      <c r="I248" t="str">
        <v>INICIADO</v>
      </c>
      <c r="J248" t="str">
        <v>VICTORIA</v>
      </c>
      <c r="K248" t="str">
        <v>S/M</v>
      </c>
      <c r="L248">
        <v>0</v>
      </c>
    </row>
    <row r="249" spans="2:12" x14ac:dyDescent="0.25">
      <c r="B249" s="20">
        <v>45182</v>
      </c>
      <c r="C249" t="str">
        <v xml:space="preserve">ALEGRE LEONARDO </v>
      </c>
      <c r="D249">
        <v>27</v>
      </c>
      <c r="E249" t="str">
        <v xml:space="preserve">HERMIDA </v>
      </c>
      <c r="F249" t="str">
        <v xml:space="preserve">LCA </v>
      </c>
      <c r="G249" t="str">
        <v xml:space="preserve">TORNILL/BOTON </v>
      </c>
      <c r="H249">
        <v>0</v>
      </c>
      <c r="I249" t="str">
        <v>INICIADO</v>
      </c>
      <c r="J249" t="str">
        <v>PARANÁ</v>
      </c>
      <c r="K249" t="str">
        <v>S/M</v>
      </c>
      <c r="L249">
        <v>0</v>
      </c>
    </row>
    <row r="250" spans="2:12" x14ac:dyDescent="0.25">
      <c r="B250" s="20">
        <v>45182</v>
      </c>
      <c r="C250" t="str">
        <v xml:space="preserve">GARCIA MIGUEL </v>
      </c>
      <c r="D250">
        <v>68</v>
      </c>
      <c r="E250" t="str">
        <v>THOMPSOM</v>
      </c>
      <c r="F250" t="str">
        <v>L MANG. ROT</v>
      </c>
      <c r="G250" t="str">
        <v>ARPONES</v>
      </c>
      <c r="H250" t="str">
        <v xml:space="preserve">VILLALBA </v>
      </c>
      <c r="I250" t="str">
        <v>ACEPTADO</v>
      </c>
      <c r="J250" t="str">
        <v>PARANÁ</v>
      </c>
      <c r="K250" t="str">
        <v>PAMI</v>
      </c>
      <c r="L250">
        <v>0</v>
      </c>
    </row>
    <row r="251" spans="2:12" x14ac:dyDescent="0.25">
      <c r="B251" s="20">
        <v>45182</v>
      </c>
      <c r="C251" t="str">
        <v xml:space="preserve">BORGEAT LEONEL </v>
      </c>
      <c r="D251">
        <v>31</v>
      </c>
      <c r="E251" t="str">
        <v>UCEDO</v>
      </c>
      <c r="F251" t="str">
        <v xml:space="preserve">FX MUÑECA </v>
      </c>
      <c r="G251" t="str">
        <v>PLACA VOLAR</v>
      </c>
      <c r="H251">
        <v>0</v>
      </c>
      <c r="I251" t="str">
        <v>ACEPTADO</v>
      </c>
      <c r="J251" t="str">
        <v>PARANÁ</v>
      </c>
      <c r="K251" t="str">
        <v>S/M</v>
      </c>
      <c r="L251">
        <v>0</v>
      </c>
    </row>
    <row r="252" spans="2:12" x14ac:dyDescent="0.25">
      <c r="B252" s="20">
        <v>45183</v>
      </c>
      <c r="C252" t="str">
        <v xml:space="preserve">PEREYRA MARTA </v>
      </c>
      <c r="D252">
        <v>48</v>
      </c>
      <c r="E252" t="str">
        <v>YACOMO</v>
      </c>
      <c r="F252" t="str">
        <v xml:space="preserve">FX TIBIAL </v>
      </c>
      <c r="G252" t="str">
        <v xml:space="preserve">GUIATIBIAL/BOTON </v>
      </c>
      <c r="H252">
        <v>0</v>
      </c>
      <c r="I252" t="str">
        <v>ACEPTADO</v>
      </c>
      <c r="J252" t="str">
        <v xml:space="preserve">SAN SALVADOR </v>
      </c>
      <c r="K252" t="str">
        <v>S/M</v>
      </c>
      <c r="L252">
        <v>0</v>
      </c>
    </row>
    <row r="253" spans="2:12" x14ac:dyDescent="0.25">
      <c r="B253" s="20">
        <v>45183</v>
      </c>
      <c r="C253" t="str">
        <v xml:space="preserve">REDONI  LUIS </v>
      </c>
      <c r="D253">
        <v>65</v>
      </c>
      <c r="E253" t="str">
        <v>STOPELLO</v>
      </c>
      <c r="F253" t="str">
        <v>GONARTROSIS</v>
      </c>
      <c r="G253" t="str">
        <v xml:space="preserve">PTR CEMENTADA </v>
      </c>
      <c r="H253">
        <v>0</v>
      </c>
      <c r="I253" t="str">
        <v>ACEPTADO</v>
      </c>
      <c r="J253" t="str">
        <v>PARANÁ</v>
      </c>
      <c r="K253" t="str">
        <v>S/M</v>
      </c>
      <c r="L253">
        <v>0</v>
      </c>
    </row>
    <row r="254" spans="2:12" x14ac:dyDescent="0.25">
      <c r="B254" s="20">
        <v>45183</v>
      </c>
      <c r="C254" t="str">
        <v xml:space="preserve">ALEGRE MARIA </v>
      </c>
      <c r="D254">
        <v>48</v>
      </c>
      <c r="E254" t="str">
        <v>STOPELLO</v>
      </c>
      <c r="F254" t="str">
        <v>GONARTROSIS</v>
      </c>
      <c r="G254" t="str">
        <v xml:space="preserve">PTR CEMENTADA </v>
      </c>
      <c r="H254">
        <v>0</v>
      </c>
      <c r="I254" t="str">
        <v>ACEPTADO</v>
      </c>
      <c r="J254" t="str">
        <v>PARANÁ</v>
      </c>
      <c r="K254" t="str">
        <v>S/M</v>
      </c>
      <c r="L254">
        <v>0</v>
      </c>
    </row>
    <row r="255" spans="2:12" x14ac:dyDescent="0.25">
      <c r="B255" s="20">
        <v>45184</v>
      </c>
      <c r="C255" t="str">
        <v xml:space="preserve">GRANDOLI PATRICIA </v>
      </c>
      <c r="D255">
        <v>40</v>
      </c>
      <c r="E255" t="str">
        <v xml:space="preserve">URANGA </v>
      </c>
      <c r="F255" t="str">
        <v>CANAL ESTRECHO</v>
      </c>
      <c r="G255" t="str">
        <v xml:space="preserve">BARRAS/TORN/CAGE </v>
      </c>
      <c r="H255">
        <v>0</v>
      </c>
      <c r="I255" t="str">
        <v>ACEPTADO</v>
      </c>
      <c r="J255" t="str">
        <v>P. BRUGO</v>
      </c>
      <c r="K255" t="str">
        <v>S/M</v>
      </c>
      <c r="L255">
        <v>154544043</v>
      </c>
    </row>
    <row r="256" spans="2:12" x14ac:dyDescent="0.25">
      <c r="B256" s="20">
        <v>45184</v>
      </c>
      <c r="C256" t="str">
        <v xml:space="preserve">GRANDOLI PATRICIA </v>
      </c>
      <c r="D256">
        <v>40</v>
      </c>
      <c r="E256" t="str">
        <v xml:space="preserve">URANGA </v>
      </c>
      <c r="F256" t="str">
        <v>CANAL ESTRECHO</v>
      </c>
      <c r="G256" t="str">
        <v>SUST OSEO</v>
      </c>
      <c r="H256">
        <v>0</v>
      </c>
      <c r="I256" t="str">
        <v>INICIADO</v>
      </c>
      <c r="J256" t="str">
        <v>P. BRUGO</v>
      </c>
      <c r="K256" t="str">
        <v>S/M</v>
      </c>
      <c r="L256">
        <v>154544043</v>
      </c>
    </row>
    <row r="257" spans="2:12" x14ac:dyDescent="0.25">
      <c r="B257" s="20">
        <v>45187</v>
      </c>
      <c r="C257" t="str">
        <v xml:space="preserve">ROMERO MARIA </v>
      </c>
      <c r="D257">
        <v>62</v>
      </c>
      <c r="E257" t="str">
        <v>UCEDO</v>
      </c>
      <c r="F257" t="str">
        <v xml:space="preserve">PSEUDOARTROSIS </v>
      </c>
      <c r="G257" t="str">
        <v>TORNILLOS MELEOLAR</v>
      </c>
      <c r="H257" t="str">
        <v xml:space="preserve">VILLALBA </v>
      </c>
      <c r="I257" t="str">
        <v>ACEPTADO</v>
      </c>
      <c r="J257" t="str">
        <v>PARANÁ</v>
      </c>
      <c r="K257" t="str">
        <v>PAMI</v>
      </c>
      <c r="L257">
        <v>0</v>
      </c>
    </row>
    <row r="258" spans="2:12" x14ac:dyDescent="0.25">
      <c r="B258" s="20">
        <v>45187</v>
      </c>
      <c r="C258" t="str">
        <v xml:space="preserve">SCHMIDT RENATA </v>
      </c>
      <c r="D258">
        <v>91</v>
      </c>
      <c r="E258" t="str">
        <v xml:space="preserve">RESIDENTES </v>
      </c>
      <c r="F258" t="str">
        <v xml:space="preserve">FX CADERA </v>
      </c>
      <c r="G258" t="str">
        <v>PTC CEMEN/COTILO</v>
      </c>
      <c r="H258" t="str">
        <v>VILLALBA</v>
      </c>
      <c r="I258" t="str">
        <v>ACEPTADO</v>
      </c>
      <c r="J258" t="str">
        <v xml:space="preserve">HERNANDARIAS </v>
      </c>
      <c r="K258" t="str">
        <v>PAMI</v>
      </c>
      <c r="L258">
        <v>0</v>
      </c>
    </row>
    <row r="259" spans="2:12" x14ac:dyDescent="0.25">
      <c r="B259" s="20">
        <v>45188</v>
      </c>
      <c r="C259" t="str">
        <v xml:space="preserve">PEREZ BARTOLA </v>
      </c>
      <c r="D259">
        <v>99</v>
      </c>
      <c r="E259" t="str">
        <v>THOMPSOM</v>
      </c>
      <c r="F259" t="str">
        <v>FX CADERA</v>
      </c>
      <c r="G259" t="str">
        <v>CLAVO GAMMA</v>
      </c>
      <c r="H259" t="str">
        <v xml:space="preserve">VILLALBA </v>
      </c>
      <c r="I259" t="str">
        <v>ACEPTADO</v>
      </c>
      <c r="J259" t="str">
        <v>PARANÁ</v>
      </c>
      <c r="K259" t="str">
        <v>PAMI</v>
      </c>
      <c r="L259">
        <v>0</v>
      </c>
    </row>
    <row r="260" spans="2:12" x14ac:dyDescent="0.25">
      <c r="B260" s="20">
        <v>45188</v>
      </c>
      <c r="C260" t="str">
        <v xml:space="preserve">VILLAGRA VIVIANA </v>
      </c>
      <c r="D260">
        <v>54</v>
      </c>
      <c r="E260" t="str">
        <v>UCEDO</v>
      </c>
      <c r="F260" t="str">
        <v>ARTROSIS</v>
      </c>
      <c r="G260" t="str">
        <v>TORNL. CANUL</v>
      </c>
      <c r="H260">
        <v>0</v>
      </c>
      <c r="I260" t="str">
        <v>ACEPTADO</v>
      </c>
      <c r="J260" t="str">
        <v>PARANÁ</v>
      </c>
      <c r="K260" t="str">
        <v>S/M</v>
      </c>
      <c r="L260">
        <v>0</v>
      </c>
    </row>
    <row r="261" spans="2:12" x14ac:dyDescent="0.25">
      <c r="B261" s="20">
        <v>45190</v>
      </c>
      <c r="C261" t="str">
        <v>GOMEZ FACUNDO</v>
      </c>
      <c r="D261">
        <v>26</v>
      </c>
      <c r="E261" t="str">
        <v>STOPELLO</v>
      </c>
      <c r="F261" t="str">
        <v xml:space="preserve">LCA </v>
      </c>
      <c r="G261" t="str">
        <v xml:space="preserve">TORNILL/BOTON </v>
      </c>
      <c r="H261">
        <v>0</v>
      </c>
      <c r="I261" t="str">
        <v>ACEPTADO</v>
      </c>
      <c r="J261" t="str">
        <v>VILLAGUAY</v>
      </c>
      <c r="K261" t="str">
        <v>S/M</v>
      </c>
      <c r="L261">
        <v>0</v>
      </c>
    </row>
    <row r="262" spans="2:12" x14ac:dyDescent="0.25">
      <c r="B262" s="20">
        <v>45190</v>
      </c>
      <c r="C262" t="str">
        <v xml:space="preserve">FRIZLER GRACIELA </v>
      </c>
      <c r="D262">
        <v>65</v>
      </c>
      <c r="E262" t="str">
        <v>STOPELLO</v>
      </c>
      <c r="F262" t="str">
        <v>GONARTROSIS</v>
      </c>
      <c r="G262" t="str">
        <v xml:space="preserve">PTR ANATOMICA </v>
      </c>
      <c r="H262" t="str">
        <v xml:space="preserve">IP MAGNA </v>
      </c>
      <c r="I262" t="str">
        <v>ACEPTADO</v>
      </c>
      <c r="J262" t="str">
        <v xml:space="preserve">HERNANDARIAS </v>
      </c>
      <c r="K262" t="str">
        <v>PAMI</v>
      </c>
      <c r="L262">
        <v>3438607743</v>
      </c>
    </row>
    <row r="263" spans="2:12" x14ac:dyDescent="0.25">
      <c r="B263" s="20">
        <v>45190</v>
      </c>
      <c r="C263" t="str">
        <v>MAYORAZ SARA</v>
      </c>
      <c r="D263">
        <v>81</v>
      </c>
      <c r="E263" t="str">
        <v>COLLOMB</v>
      </c>
      <c r="F263" t="str">
        <v>FX CADERA</v>
      </c>
      <c r="G263" t="str">
        <v>CLAVO GAMMA</v>
      </c>
      <c r="H263" t="str">
        <v xml:space="preserve">VILLALBA </v>
      </c>
      <c r="I263" t="str">
        <v>ACEPTADO</v>
      </c>
      <c r="J263" t="str">
        <v>PARANÁ</v>
      </c>
      <c r="K263" t="str">
        <v>PAMI</v>
      </c>
      <c r="L263">
        <v>0</v>
      </c>
    </row>
    <row r="264" spans="2:12" x14ac:dyDescent="0.25">
      <c r="B264" s="20">
        <v>45191</v>
      </c>
      <c r="C264" t="str">
        <v xml:space="preserve">BARRETO CARLOS </v>
      </c>
      <c r="D264">
        <v>34</v>
      </c>
      <c r="E264" t="str">
        <v>PELEGRINI</v>
      </c>
      <c r="F264" t="str">
        <v xml:space="preserve">LCA </v>
      </c>
      <c r="G264" t="str">
        <v xml:space="preserve">TORNILL/BOTON </v>
      </c>
      <c r="H264">
        <v>0</v>
      </c>
      <c r="I264" t="str">
        <v>INICIADO</v>
      </c>
      <c r="J264" t="str">
        <v>VILLAGUAY</v>
      </c>
      <c r="K264" t="str">
        <v>S/M</v>
      </c>
      <c r="L264">
        <v>3455406132</v>
      </c>
    </row>
    <row r="265" spans="2:12" x14ac:dyDescent="0.25">
      <c r="B265" s="20">
        <v>45191</v>
      </c>
      <c r="C265" t="str">
        <v xml:space="preserve">FAELO IVAN </v>
      </c>
      <c r="D265">
        <v>23</v>
      </c>
      <c r="E265" t="str">
        <v>PELEGRINI</v>
      </c>
      <c r="F265" t="str">
        <v xml:space="preserve">LCA </v>
      </c>
      <c r="G265" t="str">
        <v xml:space="preserve">TORNILL/BOTON </v>
      </c>
      <c r="H265">
        <v>0</v>
      </c>
      <c r="I265" t="str">
        <v>INICIADO</v>
      </c>
      <c r="J265" t="str">
        <v>GUALEGUAYCHU</v>
      </c>
      <c r="K265" t="str">
        <v>S/M</v>
      </c>
      <c r="L265">
        <v>3444506352</v>
      </c>
    </row>
    <row r="266" spans="2:12" x14ac:dyDescent="0.25">
      <c r="B266" s="20">
        <v>45191</v>
      </c>
      <c r="C266" t="str">
        <v>BURGGARDT RICARDO</v>
      </c>
      <c r="D266">
        <v>53</v>
      </c>
      <c r="E266" t="str">
        <v>CATRIEL GODOY</v>
      </c>
      <c r="F266" t="str">
        <v xml:space="preserve">RUP MANG ROT </v>
      </c>
      <c r="G266" t="str">
        <v xml:space="preserve">ARPONES </v>
      </c>
      <c r="H266">
        <v>0</v>
      </c>
      <c r="I266" t="str">
        <v>ACEPTADO</v>
      </c>
      <c r="J266" t="str">
        <v>BOVRIL</v>
      </c>
      <c r="K266" t="str">
        <v>S/M</v>
      </c>
      <c r="L266">
        <v>0</v>
      </c>
    </row>
    <row r="267" spans="2:12" x14ac:dyDescent="0.25">
      <c r="B267" s="20">
        <v>45195</v>
      </c>
      <c r="C267" t="str">
        <v>YARCE  EDUARDO</v>
      </c>
      <c r="D267">
        <v>74</v>
      </c>
      <c r="E267" t="str">
        <v>THOMPSOM</v>
      </c>
      <c r="F267" t="str">
        <v>FX CADERA</v>
      </c>
      <c r="G267" t="str">
        <v>CLAVO GAMMA</v>
      </c>
      <c r="H267" t="str">
        <v xml:space="preserve">VILLALBA </v>
      </c>
      <c r="I267" t="str">
        <v>ACEPTADO</v>
      </c>
      <c r="J267" t="str">
        <v>PARANÁ</v>
      </c>
      <c r="K267" t="str">
        <v>PAMI</v>
      </c>
      <c r="L267">
        <v>0</v>
      </c>
    </row>
    <row r="268" spans="2:12" x14ac:dyDescent="0.25">
      <c r="B268" s="20">
        <v>45196</v>
      </c>
      <c r="C268" t="str">
        <v xml:space="preserve">ALTAMIRANO </v>
      </c>
      <c r="D268">
        <v>21</v>
      </c>
      <c r="E268" t="str">
        <v xml:space="preserve">HERMIDA </v>
      </c>
      <c r="F268" t="str">
        <v xml:space="preserve">LCA </v>
      </c>
      <c r="G268" t="str">
        <v xml:space="preserve">SISTEME DE SUTURA </v>
      </c>
      <c r="H268">
        <v>0</v>
      </c>
      <c r="I268" t="str">
        <v>INICIADO</v>
      </c>
      <c r="J268" t="str">
        <v xml:space="preserve">VILLAGUAY </v>
      </c>
      <c r="K268" t="str">
        <v>S/M</v>
      </c>
      <c r="L268">
        <v>3455410686</v>
      </c>
    </row>
    <row r="269" spans="2:12" x14ac:dyDescent="0.25">
      <c r="B269" s="20">
        <v>45197</v>
      </c>
      <c r="C269" t="str">
        <v xml:space="preserve"> CARRERA LILIANA </v>
      </c>
      <c r="D269">
        <v>0</v>
      </c>
      <c r="E269" t="str">
        <v>GARCIA VITOR</v>
      </c>
      <c r="F269" t="str">
        <v>COXOARTROS</v>
      </c>
      <c r="G269" t="str">
        <v>PTC NO CEMENT</v>
      </c>
      <c r="H269">
        <v>0</v>
      </c>
      <c r="I269" t="str">
        <v>ACEPTADO</v>
      </c>
      <c r="J269">
        <v>0</v>
      </c>
      <c r="K269" t="str">
        <v>S/M</v>
      </c>
      <c r="L269">
        <v>0</v>
      </c>
    </row>
    <row r="270" spans="2:12" x14ac:dyDescent="0.25">
      <c r="B270" s="20">
        <v>45197</v>
      </c>
      <c r="C270" t="str">
        <v xml:space="preserve">FANGI SUSANA </v>
      </c>
      <c r="D270">
        <v>0</v>
      </c>
      <c r="E270" t="str">
        <v>GARCIA VITOR</v>
      </c>
      <c r="F270" t="str">
        <v>GONARTROSIS</v>
      </c>
      <c r="G270" t="str">
        <v xml:space="preserve">PTR ANATOMICA </v>
      </c>
      <c r="H270" t="str">
        <v xml:space="preserve">VILLALBA </v>
      </c>
      <c r="I270" t="str">
        <v>ACEPTADO</v>
      </c>
      <c r="J270">
        <v>0</v>
      </c>
      <c r="K270" t="str">
        <v>PAMI</v>
      </c>
      <c r="L270">
        <v>0</v>
      </c>
    </row>
    <row r="271" spans="2:12" x14ac:dyDescent="0.25">
      <c r="B271" s="20">
        <v>45198</v>
      </c>
      <c r="C271" t="str">
        <v>RENE NILDA</v>
      </c>
      <c r="D271">
        <v>81</v>
      </c>
      <c r="E271" t="str">
        <v>STOPELLO</v>
      </c>
      <c r="F271">
        <v>0</v>
      </c>
      <c r="G271">
        <v>0</v>
      </c>
      <c r="H271">
        <v>0</v>
      </c>
      <c r="I271" t="str">
        <v>ACEPTADO</v>
      </c>
      <c r="J271">
        <v>0</v>
      </c>
      <c r="K271" t="str">
        <v>S/M</v>
      </c>
      <c r="L271">
        <v>0</v>
      </c>
    </row>
    <row r="272" spans="2:12" x14ac:dyDescent="0.25">
      <c r="B272" s="20">
        <v>45236</v>
      </c>
      <c r="C272" t="str">
        <v>VILLAGRA NOEMI</v>
      </c>
      <c r="D272">
        <v>65</v>
      </c>
      <c r="E272" t="str">
        <v>CATRIEL GODOY</v>
      </c>
      <c r="F272" t="str">
        <v>GENU VARO</v>
      </c>
      <c r="G272" t="str">
        <v xml:space="preserve">PTR ANATOMICA </v>
      </c>
      <c r="H272" t="str">
        <v>IP MAGNA</v>
      </c>
      <c r="I272" t="str">
        <v>ACEPTADO</v>
      </c>
      <c r="J272" t="str">
        <v>PARANÁ</v>
      </c>
      <c r="K272" t="str">
        <v>PAMI</v>
      </c>
      <c r="L272">
        <v>0</v>
      </c>
    </row>
    <row r="273" spans="2:12" x14ac:dyDescent="0.25">
      <c r="B273" s="20">
        <v>45236</v>
      </c>
      <c r="C273" t="str">
        <v>MULLER CARLOS</v>
      </c>
      <c r="D273">
        <v>82</v>
      </c>
      <c r="E273" t="str">
        <v>GARCIA VITOR</v>
      </c>
      <c r="F273" t="str">
        <v xml:space="preserve">GONARTROSIS </v>
      </c>
      <c r="G273" t="str">
        <v xml:space="preserve">PTR ANATOMICA </v>
      </c>
      <c r="H273" t="str">
        <v xml:space="preserve">VILLALBA </v>
      </c>
      <c r="I273" t="str">
        <v>ACEPTADO</v>
      </c>
      <c r="J273" t="str">
        <v>CERRITO</v>
      </c>
      <c r="K273" t="str">
        <v>PAMI</v>
      </c>
      <c r="L273">
        <v>0</v>
      </c>
    </row>
    <row r="274" spans="2:12" x14ac:dyDescent="0.25">
      <c r="B274" s="20">
        <v>45236</v>
      </c>
      <c r="C274" t="str">
        <v xml:space="preserve">ROSKOPF NORMA </v>
      </c>
      <c r="D274">
        <v>61</v>
      </c>
      <c r="E274" t="str">
        <v>COLLOMB</v>
      </c>
      <c r="F274" t="str">
        <v xml:space="preserve">FX MUÑECA </v>
      </c>
      <c r="G274" t="str">
        <v>P. DOBLE H. DISTAL</v>
      </c>
      <c r="H274" t="str">
        <v xml:space="preserve">VILLALBA </v>
      </c>
      <c r="I274" t="str">
        <v>ACEPTADO</v>
      </c>
      <c r="J274" t="str">
        <v>PARANÁ</v>
      </c>
      <c r="K274" t="str">
        <v>PAMI</v>
      </c>
      <c r="L274">
        <v>0</v>
      </c>
    </row>
    <row r="275" spans="2:12" x14ac:dyDescent="0.25">
      <c r="B275" s="20">
        <v>45236</v>
      </c>
      <c r="C275" t="str">
        <v>CASTRO ANTONIA</v>
      </c>
      <c r="D275">
        <v>83</v>
      </c>
      <c r="E275" t="str">
        <v>COLLOMB</v>
      </c>
      <c r="F275" t="str">
        <v xml:space="preserve">FX CADERA </v>
      </c>
      <c r="G275" t="str">
        <v>CLAVO GAMMA</v>
      </c>
      <c r="H275" t="str">
        <v xml:space="preserve">VILLALBA </v>
      </c>
      <c r="I275" t="str">
        <v>ACEPTADO</v>
      </c>
      <c r="J275" t="str">
        <v>PARANÁ</v>
      </c>
      <c r="K275" t="str">
        <v>PAMI</v>
      </c>
      <c r="L275">
        <v>0</v>
      </c>
    </row>
    <row r="276" spans="2:12" x14ac:dyDescent="0.25">
      <c r="B276" s="20">
        <v>45236</v>
      </c>
      <c r="C276" t="str">
        <v>MICHELOUD MARIA J</v>
      </c>
      <c r="D276">
        <v>80</v>
      </c>
      <c r="E276" t="str">
        <v>GARCIA VITOR</v>
      </c>
      <c r="F276" t="str">
        <v xml:space="preserve">GONARTROSIS </v>
      </c>
      <c r="G276" t="str">
        <v xml:space="preserve">PTR ANATOMICA </v>
      </c>
      <c r="H276" t="str">
        <v xml:space="preserve">VILLALBA </v>
      </c>
      <c r="I276" t="str">
        <v>ACEPTADO</v>
      </c>
      <c r="J276" t="str">
        <v>PARANÁ</v>
      </c>
      <c r="K276" t="str">
        <v>PAMI</v>
      </c>
      <c r="L276">
        <v>0</v>
      </c>
    </row>
    <row r="277" spans="2:12" x14ac:dyDescent="0.25">
      <c r="B277" s="20">
        <v>45237</v>
      </c>
      <c r="C277" t="str">
        <v xml:space="preserve">ANCILLOTTI STELLA </v>
      </c>
      <c r="D277">
        <v>77</v>
      </c>
      <c r="E277" t="str">
        <v>COLLOMB</v>
      </c>
      <c r="F277" t="str">
        <v xml:space="preserve">FX CADERA </v>
      </c>
      <c r="G277" t="str">
        <v xml:space="preserve">PTC CEMENT/ COTILO D </v>
      </c>
      <c r="H277" t="str">
        <v xml:space="preserve">VILLALBA </v>
      </c>
      <c r="I277" t="str">
        <v>ACEPTADO</v>
      </c>
      <c r="J277" t="str">
        <v>PARANÁ</v>
      </c>
      <c r="K277" t="str">
        <v>PAMI</v>
      </c>
      <c r="L277">
        <v>0</v>
      </c>
    </row>
    <row r="278" spans="2:12" x14ac:dyDescent="0.25">
      <c r="B278" s="20">
        <v>45237</v>
      </c>
      <c r="C278" t="str">
        <v xml:space="preserve">VEGA SONIA </v>
      </c>
      <c r="D278">
        <v>84</v>
      </c>
      <c r="E278" t="str">
        <v>COLLOMB</v>
      </c>
      <c r="F278" t="str">
        <v xml:space="preserve">FX CADERA </v>
      </c>
      <c r="G278" t="str">
        <v xml:space="preserve">C. GAMMA /DHS </v>
      </c>
      <c r="H278" t="str">
        <v xml:space="preserve">VILLALBA </v>
      </c>
      <c r="I278" t="str">
        <v>ACEPTADO</v>
      </c>
      <c r="J278" t="str">
        <v>PARANÁ</v>
      </c>
      <c r="K278" t="str">
        <v>PAMI</v>
      </c>
      <c r="L278">
        <v>0</v>
      </c>
    </row>
    <row r="279" spans="2:12" x14ac:dyDescent="0.25">
      <c r="B279" s="20">
        <v>45237</v>
      </c>
      <c r="C279" t="str">
        <v>ROMERO EDUARDO</v>
      </c>
      <c r="D279">
        <v>59</v>
      </c>
      <c r="E279" t="str">
        <v xml:space="preserve">HERMIDA </v>
      </c>
      <c r="F279" t="str">
        <v xml:space="preserve">COXARTROSIS </v>
      </c>
      <c r="G279" t="str">
        <v xml:space="preserve">PTC HIBRIDA </v>
      </c>
      <c r="H279">
        <v>0</v>
      </c>
      <c r="I279" t="str">
        <v xml:space="preserve">INICIADO </v>
      </c>
      <c r="J279" t="str">
        <v>PARANÁ</v>
      </c>
      <c r="K279" t="str">
        <v>S/M</v>
      </c>
      <c r="L279">
        <v>0</v>
      </c>
    </row>
    <row r="280" spans="2:12" x14ac:dyDescent="0.25">
      <c r="B280" s="20">
        <v>45237</v>
      </c>
      <c r="C280" t="str">
        <v xml:space="preserve">GONZALEZ PALOMA </v>
      </c>
      <c r="D280">
        <v>18</v>
      </c>
      <c r="E280">
        <v>0</v>
      </c>
      <c r="F280" t="str">
        <v>LCA</v>
      </c>
      <c r="G280" t="str">
        <v xml:space="preserve">TORNILLOS INTERF </v>
      </c>
      <c r="H280">
        <v>0</v>
      </c>
      <c r="I280" t="str">
        <v xml:space="preserve">INICIADO </v>
      </c>
      <c r="J280" t="str">
        <v>PARANÁ</v>
      </c>
      <c r="K280" t="str">
        <v>S/M</v>
      </c>
      <c r="L280">
        <v>0</v>
      </c>
    </row>
    <row r="281" spans="2:12" x14ac:dyDescent="0.25">
      <c r="B281" s="20">
        <v>45237</v>
      </c>
      <c r="C281" t="str">
        <v>GOZELA ALVERTO</v>
      </c>
      <c r="D281">
        <v>66</v>
      </c>
      <c r="E281" t="str">
        <v>UCEDO</v>
      </c>
      <c r="F281" t="str">
        <v xml:space="preserve">FX HUMERO </v>
      </c>
      <c r="G281" t="str">
        <v>C. ENDOMEDULAR</v>
      </c>
      <c r="H281" t="str">
        <v xml:space="preserve">VILLALBA </v>
      </c>
      <c r="I281" t="str">
        <v>ACEPTADO</v>
      </c>
      <c r="J281" t="str">
        <v>PARANÁ</v>
      </c>
      <c r="K281" t="str">
        <v>PAMI</v>
      </c>
      <c r="L281">
        <v>0</v>
      </c>
    </row>
    <row r="282" spans="2:12" x14ac:dyDescent="0.25">
      <c r="B282" s="20">
        <v>45237</v>
      </c>
      <c r="C282" t="str">
        <v xml:space="preserve">CISNEROS FACUNDO </v>
      </c>
      <c r="D282">
        <v>34</v>
      </c>
      <c r="E282" t="str">
        <v>CATRIEL GODOY</v>
      </c>
      <c r="F282" t="str">
        <v xml:space="preserve">NOA </v>
      </c>
      <c r="G282" t="str">
        <v xml:space="preserve">PTC CERAMICA </v>
      </c>
      <c r="H282">
        <v>0</v>
      </c>
      <c r="I282" t="str">
        <v>ACEPTADO</v>
      </c>
      <c r="J282" t="str">
        <v xml:space="preserve">NOGOYA </v>
      </c>
      <c r="K282" t="str">
        <v>S/M</v>
      </c>
      <c r="L282">
        <v>0</v>
      </c>
    </row>
    <row r="283" spans="2:12" x14ac:dyDescent="0.25">
      <c r="B283" s="20">
        <v>45239</v>
      </c>
      <c r="C283" t="str">
        <v xml:space="preserve">CASERES ALEJANDRA </v>
      </c>
      <c r="D283">
        <v>56</v>
      </c>
      <c r="E283" t="str">
        <v>STOPELLO</v>
      </c>
      <c r="F283" t="str">
        <v>AFLOJ. PROTES</v>
      </c>
      <c r="G283" t="str">
        <v xml:space="preserve">P TC  CEMENTADA </v>
      </c>
      <c r="H283">
        <v>0</v>
      </c>
      <c r="I283" t="str">
        <v>ACEPTADO</v>
      </c>
      <c r="J283" t="str">
        <v>PARANÁ</v>
      </c>
      <c r="K283" t="str">
        <v>S/M</v>
      </c>
      <c r="L283">
        <v>0</v>
      </c>
    </row>
    <row r="284" spans="2:12" x14ac:dyDescent="0.25">
      <c r="B284" s="20">
        <v>45239</v>
      </c>
      <c r="C284" t="str">
        <v>AGUIRRE ROBERTO</v>
      </c>
      <c r="D284">
        <v>36</v>
      </c>
      <c r="E284" t="str">
        <v xml:space="preserve">URANGA </v>
      </c>
      <c r="F284" t="str">
        <v xml:space="preserve">ESCOLIOSIS </v>
      </c>
      <c r="G284" t="str">
        <v xml:space="preserve">SIT.FIJ COLUMNA </v>
      </c>
      <c r="H284" t="str">
        <v>IP MAGNA</v>
      </c>
      <c r="I284" t="str">
        <v>ACEPTADO</v>
      </c>
      <c r="J284" t="str">
        <v>PARANÁ</v>
      </c>
      <c r="K284" t="str">
        <v>PAMI</v>
      </c>
      <c r="L284">
        <v>0</v>
      </c>
    </row>
    <row r="285" spans="2:12" x14ac:dyDescent="0.25">
      <c r="B285" s="20">
        <v>45239</v>
      </c>
      <c r="C285" t="str">
        <v xml:space="preserve">DUARTE GLADYS </v>
      </c>
      <c r="D285">
        <v>90</v>
      </c>
      <c r="E285" t="str">
        <v>UCEDO</v>
      </c>
      <c r="F285" t="str">
        <v xml:space="preserve">FX CADERA </v>
      </c>
      <c r="G285" t="str">
        <v>CLAV/GAMMA/CLAV DHS</v>
      </c>
      <c r="H285" t="str">
        <v xml:space="preserve">VILLALBA </v>
      </c>
      <c r="I285" t="str">
        <v>ACEPTADO</v>
      </c>
      <c r="J285" t="str">
        <v>PARANÁ</v>
      </c>
      <c r="K285" t="str">
        <v>PAMI</v>
      </c>
      <c r="L285">
        <v>0</v>
      </c>
    </row>
    <row r="286" spans="2:12" x14ac:dyDescent="0.25">
      <c r="B286" s="20">
        <v>45240</v>
      </c>
      <c r="C286" t="str">
        <v>ZANABRIA MARIA LINA</v>
      </c>
      <c r="D286">
        <v>0</v>
      </c>
      <c r="E286" t="str">
        <v>STOPELLO</v>
      </c>
      <c r="F286" t="str">
        <v xml:space="preserve">COXARTROSIS </v>
      </c>
      <c r="G286" t="str">
        <v>CLAVO GAMMA</v>
      </c>
      <c r="H286" t="str">
        <v xml:space="preserve">VILLALBA </v>
      </c>
      <c r="I286" t="str">
        <v>ACEPTADO</v>
      </c>
      <c r="J286" t="str">
        <v>PARANÁ</v>
      </c>
      <c r="K286" t="str">
        <v>PAMI</v>
      </c>
      <c r="L286">
        <v>0</v>
      </c>
    </row>
    <row r="287" spans="2:12" x14ac:dyDescent="0.25">
      <c r="B287" s="20">
        <v>45243</v>
      </c>
      <c r="C287" t="str">
        <v>CARDOZO LUCAS</v>
      </c>
      <c r="D287">
        <v>26</v>
      </c>
      <c r="E287" t="str">
        <v>GARCIA VITOR</v>
      </c>
      <c r="F287" t="str">
        <v>FX TOBILLO</v>
      </c>
      <c r="G287" t="str">
        <v xml:space="preserve">PLACA 1/3 </v>
      </c>
      <c r="H287">
        <v>0</v>
      </c>
      <c r="I287" t="str">
        <v>ACEPTADO</v>
      </c>
      <c r="J287" t="str">
        <v>CRESPO</v>
      </c>
      <c r="K287" t="str">
        <v>S/M</v>
      </c>
      <c r="L287">
        <v>0</v>
      </c>
    </row>
    <row r="288" spans="2:12" x14ac:dyDescent="0.25">
      <c r="B288" s="20">
        <v>45243</v>
      </c>
      <c r="C288" t="str">
        <v xml:space="preserve">PALACIOS ELBA </v>
      </c>
      <c r="D288">
        <v>69</v>
      </c>
      <c r="E288" t="str">
        <v>GARCIA VITOR</v>
      </c>
      <c r="F288" t="str">
        <v xml:space="preserve">ARTRO. RODILLA </v>
      </c>
      <c r="G288" t="str">
        <v xml:space="preserve">PTR ANATOMICA </v>
      </c>
      <c r="H288" t="str">
        <v>IP MAGNA</v>
      </c>
      <c r="I288" t="str">
        <v>ACEPTADO</v>
      </c>
      <c r="J288" t="str">
        <v xml:space="preserve">EL PALENQUE </v>
      </c>
      <c r="K288" t="str">
        <v>PAMI</v>
      </c>
      <c r="L288">
        <v>0</v>
      </c>
    </row>
    <row r="289" spans="2:12" x14ac:dyDescent="0.25">
      <c r="B289" s="20">
        <v>45243</v>
      </c>
      <c r="C289" t="str">
        <v xml:space="preserve">PALACIOS ELBA </v>
      </c>
      <c r="D289">
        <v>69</v>
      </c>
      <c r="E289" t="str">
        <v>GARCIA VITOR</v>
      </c>
      <c r="F289" t="str">
        <v xml:space="preserve">ARTRO CADERA </v>
      </c>
      <c r="G289" t="str">
        <v xml:space="preserve">PTC HIBRIDA </v>
      </c>
      <c r="H289" t="str">
        <v>IP MAGNA</v>
      </c>
      <c r="I289" t="str">
        <v>ACEPTADO</v>
      </c>
      <c r="J289" t="str">
        <v xml:space="preserve">EL PALENQUE </v>
      </c>
      <c r="K289" t="str">
        <v>PAMI</v>
      </c>
      <c r="L289">
        <v>0</v>
      </c>
    </row>
    <row r="290" spans="2:12" x14ac:dyDescent="0.25">
      <c r="B290" s="20">
        <v>45244</v>
      </c>
      <c r="C290" t="str">
        <v>PODVERSICH BRIAN</v>
      </c>
      <c r="D290">
        <v>23</v>
      </c>
      <c r="E290" t="str">
        <v>GARCIA VITOR</v>
      </c>
      <c r="F290" t="str">
        <v>LCA</v>
      </c>
      <c r="G290" t="str">
        <v xml:space="preserve">TORNILLOS INTERF </v>
      </c>
      <c r="H290" t="str">
        <v xml:space="preserve">VILLALBA </v>
      </c>
      <c r="I290" t="str">
        <v>ACEPTADO</v>
      </c>
      <c r="J290" t="str">
        <v>PARANÁ</v>
      </c>
      <c r="K290" t="str">
        <v>PAMI</v>
      </c>
      <c r="L290">
        <v>0</v>
      </c>
    </row>
    <row r="291" spans="2:12" x14ac:dyDescent="0.25">
      <c r="B291" s="20">
        <v>45244</v>
      </c>
      <c r="C291" t="str">
        <v xml:space="preserve">SIRTORI SILVIA </v>
      </c>
      <c r="D291">
        <v>76</v>
      </c>
      <c r="E291" t="str">
        <v>COLLOMB</v>
      </c>
      <c r="F291" t="str">
        <v xml:space="preserve">FX HUMERO </v>
      </c>
      <c r="G291" t="str">
        <v>P. PHILOS /CLAVO</v>
      </c>
      <c r="H291" t="str">
        <v xml:space="preserve">VILLALBA </v>
      </c>
      <c r="I291" t="str">
        <v>ACEPTADO</v>
      </c>
      <c r="J291" t="str">
        <v>PARANÁ</v>
      </c>
      <c r="K291" t="str">
        <v>PAMI</v>
      </c>
      <c r="L291">
        <v>0</v>
      </c>
    </row>
    <row r="292" spans="2:12" x14ac:dyDescent="0.25">
      <c r="B292" s="20">
        <v>45244</v>
      </c>
      <c r="C292" t="str">
        <v>ALLEGRINI HAYDEE</v>
      </c>
      <c r="D292">
        <v>69</v>
      </c>
      <c r="E292" t="str">
        <v>VENTURI</v>
      </c>
      <c r="F292" t="str">
        <v xml:space="preserve">FX HUMERO </v>
      </c>
      <c r="G292" t="str">
        <v>P. PHILOS /CLAVO</v>
      </c>
      <c r="H292" t="str">
        <v xml:space="preserve">VILLALBA </v>
      </c>
      <c r="I292" t="str">
        <v>ACEPTADO</v>
      </c>
      <c r="J292" t="str">
        <v>PARANÁ</v>
      </c>
      <c r="K292" t="str">
        <v>PAMI</v>
      </c>
      <c r="L292">
        <v>0</v>
      </c>
    </row>
    <row r="293" spans="2:12" x14ac:dyDescent="0.25">
      <c r="B293" s="20">
        <v>45246</v>
      </c>
      <c r="C293" t="str">
        <v>DIAZ MARCELO</v>
      </c>
      <c r="D293">
        <v>48</v>
      </c>
      <c r="E293" t="str">
        <v>YACOMO</v>
      </c>
      <c r="F293" t="str">
        <v xml:space="preserve">GONARTROSIS </v>
      </c>
      <c r="G293" t="str">
        <v xml:space="preserve">PTR ANATOMICA </v>
      </c>
      <c r="H293">
        <v>0</v>
      </c>
      <c r="I293" t="str">
        <v>ACEPTADO</v>
      </c>
      <c r="J293" t="str">
        <v>PARANÁ</v>
      </c>
      <c r="K293" t="str">
        <v>S/M</v>
      </c>
      <c r="L293">
        <v>0</v>
      </c>
    </row>
    <row r="294" spans="2:12" x14ac:dyDescent="0.25">
      <c r="B294" s="20">
        <v>45247</v>
      </c>
      <c r="C294" t="str">
        <v>MOREIRA HORACIO</v>
      </c>
      <c r="D294">
        <v>69</v>
      </c>
      <c r="E294" t="str">
        <v xml:space="preserve">URANGA </v>
      </c>
      <c r="F294" t="str">
        <v xml:space="preserve">ESCOLIOSIS </v>
      </c>
      <c r="G294" t="str">
        <v>BARRAS/TORN/PLIF</v>
      </c>
      <c r="H294" t="str">
        <v>IP MAGNA</v>
      </c>
      <c r="I294" t="str">
        <v xml:space="preserve">VIA ESCEPCION </v>
      </c>
      <c r="J294" t="str">
        <v>PARANÁ</v>
      </c>
      <c r="K294" t="str">
        <v>PAMI</v>
      </c>
      <c r="L294">
        <v>0</v>
      </c>
    </row>
    <row r="295" spans="2:12" x14ac:dyDescent="0.25">
      <c r="B295" s="20">
        <v>45247</v>
      </c>
      <c r="C295" t="str">
        <v xml:space="preserve">IANCOVICH OSCAR </v>
      </c>
      <c r="D295">
        <v>61</v>
      </c>
      <c r="E295" t="str">
        <v xml:space="preserve">URANGA </v>
      </c>
      <c r="F295" t="str">
        <v xml:space="preserve">ESCOLIOSIS </v>
      </c>
      <c r="G295" t="str">
        <v>BARRAS/TORN/PLIF</v>
      </c>
      <c r="H295" t="str">
        <v>INICIADO</v>
      </c>
      <c r="I295" t="str">
        <v>ACEPTADO</v>
      </c>
      <c r="J295" t="str">
        <v>PARANÁ</v>
      </c>
      <c r="K295" t="str">
        <v>S/M</v>
      </c>
      <c r="L295">
        <v>0</v>
      </c>
    </row>
    <row r="296" spans="2:12" x14ac:dyDescent="0.25">
      <c r="B296" s="20">
        <v>45247</v>
      </c>
      <c r="C296" t="str">
        <v>CANTERO OSCAR</v>
      </c>
      <c r="D296">
        <v>36</v>
      </c>
      <c r="E296" t="str">
        <v xml:space="preserve">URANGA </v>
      </c>
      <c r="F296" t="str">
        <v xml:space="preserve">ESCOLIOSIS </v>
      </c>
      <c r="G296" t="str">
        <v>BARRAS/TORN/PLIF</v>
      </c>
      <c r="H296" t="str">
        <v>INICIADO</v>
      </c>
      <c r="I296" t="str">
        <v>ACEPTADO</v>
      </c>
      <c r="J296" t="str">
        <v xml:space="preserve">CONCORDIA </v>
      </c>
      <c r="K296" t="str">
        <v>S/M</v>
      </c>
      <c r="L296">
        <v>0</v>
      </c>
    </row>
    <row r="297" spans="2:12" x14ac:dyDescent="0.25">
      <c r="B297" s="20">
        <v>45247</v>
      </c>
      <c r="C297" t="str">
        <v xml:space="preserve">ZAPATA NELIDA </v>
      </c>
      <c r="D297">
        <v>65</v>
      </c>
      <c r="E297" t="str">
        <v xml:space="preserve">URANGA </v>
      </c>
      <c r="F297" t="str">
        <v xml:space="preserve">ESCOLIOSIS </v>
      </c>
      <c r="G297" t="str">
        <v>BARRAS/TORN/PLIF</v>
      </c>
      <c r="H297" t="str">
        <v>IP MAGNA</v>
      </c>
      <c r="I297" t="str">
        <v>RECHAZADO</v>
      </c>
      <c r="J297" t="str">
        <v>PARANÁ</v>
      </c>
      <c r="K297" t="str">
        <v>PAMI</v>
      </c>
      <c r="L297">
        <v>0</v>
      </c>
    </row>
    <row r="298" spans="2:12" x14ac:dyDescent="0.25">
      <c r="B298" s="20">
        <v>45247</v>
      </c>
      <c r="C298" t="str">
        <v xml:space="preserve">ALBORNOZ SIMON </v>
      </c>
      <c r="D298">
        <v>69</v>
      </c>
      <c r="E298" t="str">
        <v>STOPELLO</v>
      </c>
      <c r="F298" t="str">
        <v>AFLOJ. PROTES</v>
      </c>
      <c r="G298" t="str">
        <v xml:space="preserve">ESPACIADOR </v>
      </c>
      <c r="H298" t="str">
        <v xml:space="preserve">VILLALBA </v>
      </c>
      <c r="I298" t="str">
        <v>ACEPTADO</v>
      </c>
      <c r="J298" t="str">
        <v>PARANÁ</v>
      </c>
      <c r="K298" t="str">
        <v>PAMI</v>
      </c>
      <c r="L298">
        <v>0</v>
      </c>
    </row>
    <row r="299" spans="2:12" x14ac:dyDescent="0.25">
      <c r="B299" s="20">
        <v>45251</v>
      </c>
      <c r="C299" t="str">
        <v>LOPEZ MIGUEL</v>
      </c>
      <c r="D299">
        <v>72</v>
      </c>
      <c r="E299" t="str">
        <v>COLLOMB</v>
      </c>
      <c r="F299" t="str">
        <v xml:space="preserve">RUP.TENDON </v>
      </c>
      <c r="G299" t="str">
        <v xml:space="preserve">ARPONES </v>
      </c>
      <c r="H299" t="str">
        <v xml:space="preserve">VILLALBA </v>
      </c>
      <c r="I299" t="str">
        <v>ACEPTADO</v>
      </c>
      <c r="J299" t="str">
        <v>PARANÁ</v>
      </c>
      <c r="K299" t="str">
        <v>PAMI</v>
      </c>
      <c r="L299">
        <v>0</v>
      </c>
    </row>
    <row r="300" spans="2:12" x14ac:dyDescent="0.25">
      <c r="B300" s="20">
        <v>45251</v>
      </c>
      <c r="C300" t="str">
        <v>CAMPOS MARGARITA</v>
      </c>
      <c r="D300">
        <v>70</v>
      </c>
      <c r="E300" t="str">
        <v>COLLOMB</v>
      </c>
      <c r="F300" t="str">
        <v xml:space="preserve">FX HUMERO </v>
      </c>
      <c r="G300" t="str">
        <v xml:space="preserve">P.PHILOS </v>
      </c>
      <c r="H300" t="str">
        <v xml:space="preserve">VILLALBA </v>
      </c>
      <c r="I300" t="str">
        <v>ACEPTADO</v>
      </c>
      <c r="J300" t="str">
        <v>PARANÁ</v>
      </c>
      <c r="K300" t="str">
        <v>PAMI</v>
      </c>
      <c r="L300">
        <v>0</v>
      </c>
    </row>
    <row r="301" spans="2:12" x14ac:dyDescent="0.25">
      <c r="B301" s="20">
        <v>45253</v>
      </c>
      <c r="C301" t="str">
        <v>WILD RAUL HUGO</v>
      </c>
      <c r="D301">
        <v>69</v>
      </c>
      <c r="E301" t="str">
        <v>CESAR MEYNET</v>
      </c>
      <c r="F301" t="str">
        <v xml:space="preserve">GONARTROSIS </v>
      </c>
      <c r="G301" t="str">
        <v xml:space="preserve">PTR ANATOMICA </v>
      </c>
      <c r="H301" t="str">
        <v>IP MAGNA</v>
      </c>
      <c r="I301" t="str">
        <v>ACEPTADO</v>
      </c>
      <c r="J301" t="str">
        <v xml:space="preserve">HERNANDARIAS </v>
      </c>
      <c r="K301" t="str">
        <v>PAMI</v>
      </c>
      <c r="L301">
        <v>0</v>
      </c>
    </row>
    <row r="302" spans="2:12" x14ac:dyDescent="0.25">
      <c r="B302" s="20">
        <v>45253</v>
      </c>
      <c r="C302" t="str">
        <v>ERNST ANA MARCIANA</v>
      </c>
      <c r="D302">
        <v>73</v>
      </c>
      <c r="E302" t="str">
        <v>CESAR MEYNET</v>
      </c>
      <c r="F302" t="str">
        <v xml:space="preserve">GONARTROSIS </v>
      </c>
      <c r="G302" t="str">
        <v xml:space="preserve">PTR ANATOMICA </v>
      </c>
      <c r="H302" t="str">
        <v xml:space="preserve">VILLALBA </v>
      </c>
      <c r="I302" t="str">
        <v>ACEPTADO</v>
      </c>
      <c r="J302" t="str">
        <v>PARANÁ</v>
      </c>
      <c r="K302" t="str">
        <v>PAMI</v>
      </c>
      <c r="L302">
        <v>0</v>
      </c>
    </row>
    <row r="303" spans="2:12" x14ac:dyDescent="0.25">
      <c r="B303" s="20">
        <v>45253</v>
      </c>
      <c r="C303" t="str">
        <v xml:space="preserve">ARREDONDO GISELA </v>
      </c>
      <c r="D303">
        <v>38</v>
      </c>
      <c r="E303" t="str">
        <v>CATRIEL GODOY</v>
      </c>
      <c r="F303">
        <v>0</v>
      </c>
      <c r="G303" t="str">
        <v xml:space="preserve">ARPONES </v>
      </c>
      <c r="H303">
        <v>0</v>
      </c>
      <c r="I303" t="str">
        <v>ACEPTADO</v>
      </c>
      <c r="J303" t="str">
        <v>PARANÁ</v>
      </c>
      <c r="K303" t="str">
        <v>S/M</v>
      </c>
      <c r="L303">
        <v>0</v>
      </c>
    </row>
    <row r="304" spans="2:12" x14ac:dyDescent="0.25">
      <c r="B304" s="20">
        <v>45254</v>
      </c>
      <c r="C304" t="str">
        <v xml:space="preserve">RIQUELME RODRIGO </v>
      </c>
      <c r="D304">
        <v>22</v>
      </c>
      <c r="E304" t="str">
        <v>PELEGRINI</v>
      </c>
      <c r="F304" t="str">
        <v>LCA</v>
      </c>
      <c r="G304" t="str">
        <v xml:space="preserve">TORNILLOS INTERF BOTON </v>
      </c>
      <c r="H304">
        <v>0</v>
      </c>
      <c r="I304" t="str">
        <v xml:space="preserve">INICIADO </v>
      </c>
      <c r="J304" t="str">
        <v>FEDERAL</v>
      </c>
      <c r="K304" t="str">
        <v>S/M</v>
      </c>
      <c r="L304">
        <v>0</v>
      </c>
    </row>
    <row r="305" spans="2:12" x14ac:dyDescent="0.25">
      <c r="B305" s="20">
        <v>45254</v>
      </c>
      <c r="C305" t="str">
        <v xml:space="preserve">CABO PEREZ JOSE </v>
      </c>
      <c r="D305">
        <v>23</v>
      </c>
      <c r="E305" t="str">
        <v>PELEGRINI</v>
      </c>
      <c r="F305" t="str">
        <v>LCA</v>
      </c>
      <c r="G305" t="str">
        <v xml:space="preserve">TORNILLOS INTERF BOTON </v>
      </c>
      <c r="H305">
        <v>0</v>
      </c>
      <c r="I305" t="str">
        <v xml:space="preserve">INICIADO </v>
      </c>
      <c r="J305" t="str">
        <v>C DEL URUGUAY</v>
      </c>
      <c r="K305" t="str">
        <v>S/M</v>
      </c>
      <c r="L305">
        <v>0</v>
      </c>
    </row>
    <row r="306" spans="2:12" x14ac:dyDescent="0.25">
      <c r="B306" s="20">
        <v>45254</v>
      </c>
      <c r="C306" t="str">
        <v xml:space="preserve">MUJICA MARTA </v>
      </c>
      <c r="D306">
        <v>85</v>
      </c>
      <c r="E306" t="str">
        <v>UCEDO</v>
      </c>
      <c r="F306" t="str">
        <v>REV OSTEOS</v>
      </c>
      <c r="G306" t="str">
        <v xml:space="preserve">C. PLAC DHS </v>
      </c>
      <c r="H306" t="str">
        <v xml:space="preserve">VILLALBA </v>
      </c>
      <c r="I306" t="str">
        <v>ACEPTADO</v>
      </c>
      <c r="J306" t="str">
        <v>PARANÁ</v>
      </c>
      <c r="K306" t="str">
        <v>PAMI</v>
      </c>
      <c r="L306">
        <v>0</v>
      </c>
    </row>
    <row r="307" spans="2:12" x14ac:dyDescent="0.25">
      <c r="B307" s="20">
        <v>45257</v>
      </c>
      <c r="C307" t="str">
        <v>CARRUEGO ISABEL</v>
      </c>
      <c r="D307">
        <v>72</v>
      </c>
      <c r="E307" t="str">
        <v>COLLOMB</v>
      </c>
      <c r="F307" t="str">
        <v xml:space="preserve">FX CADERA </v>
      </c>
      <c r="G307" t="str">
        <v>CLAVO GAMMA</v>
      </c>
      <c r="H307" t="str">
        <v xml:space="preserve">VILLALBA </v>
      </c>
      <c r="I307" t="str">
        <v>ACEPTADO</v>
      </c>
      <c r="J307" t="str">
        <v>PARANÁ</v>
      </c>
      <c r="K307" t="str">
        <v>PAMI</v>
      </c>
      <c r="L307">
        <v>0</v>
      </c>
    </row>
    <row r="308" spans="2:12" x14ac:dyDescent="0.25">
      <c r="B308" s="20">
        <v>45257</v>
      </c>
      <c r="C308" t="str">
        <v>CARRUEGO ISABEL</v>
      </c>
      <c r="D308">
        <v>72</v>
      </c>
      <c r="E308" t="str">
        <v>COLLOMB</v>
      </c>
      <c r="F308" t="str">
        <v xml:space="preserve">FX MUÑECA </v>
      </c>
      <c r="G308" t="str">
        <v>PLACA VOLAR</v>
      </c>
      <c r="H308" t="str">
        <v xml:space="preserve">VILLALBA </v>
      </c>
      <c r="I308" t="str">
        <v>ACEPTADO</v>
      </c>
      <c r="J308" t="str">
        <v>PARANÁ</v>
      </c>
      <c r="K308" t="str">
        <v>PAMI</v>
      </c>
      <c r="L308">
        <v>0</v>
      </c>
    </row>
    <row r="309" spans="2:12" x14ac:dyDescent="0.25">
      <c r="B309" s="20">
        <v>45257</v>
      </c>
      <c r="C309" t="str">
        <v xml:space="preserve">EICHHORN NORMA </v>
      </c>
      <c r="D309">
        <v>78</v>
      </c>
      <c r="E309" t="str">
        <v>COLLOMB</v>
      </c>
      <c r="F309" t="str">
        <v xml:space="preserve">FX CADERA </v>
      </c>
      <c r="G309" t="str">
        <v>CLAVO DHS</v>
      </c>
      <c r="H309" t="str">
        <v xml:space="preserve">VILLALBA </v>
      </c>
      <c r="I309" t="str">
        <v>ACEPTADO</v>
      </c>
      <c r="J309" t="str">
        <v>PARANÁ</v>
      </c>
      <c r="K309" t="str">
        <v>PAMI</v>
      </c>
      <c r="L309">
        <v>0</v>
      </c>
    </row>
    <row r="310" spans="2:12" x14ac:dyDescent="0.25">
      <c r="B310" s="20">
        <v>45258</v>
      </c>
      <c r="C310" t="str">
        <v>MORKEL LUISA</v>
      </c>
      <c r="D310">
        <v>87</v>
      </c>
      <c r="E310" t="str">
        <v>COLLOMB</v>
      </c>
      <c r="F310" t="str">
        <v xml:space="preserve">FX CADERA </v>
      </c>
      <c r="G310" t="str">
        <v>CLAVO GAMMA</v>
      </c>
      <c r="H310" t="str">
        <v>VILLALBA</v>
      </c>
      <c r="I310" t="str">
        <v>ACEPTADO</v>
      </c>
      <c r="J310" t="str">
        <v>PARANÁ</v>
      </c>
      <c r="K310" t="str">
        <v>PAMI</v>
      </c>
      <c r="L310">
        <v>0</v>
      </c>
    </row>
    <row r="311" spans="2:12" x14ac:dyDescent="0.25">
      <c r="B311" s="20">
        <v>45260</v>
      </c>
      <c r="C311" t="str">
        <v xml:space="preserve">FERNANDEZ RAMONA </v>
      </c>
      <c r="D311">
        <v>81</v>
      </c>
      <c r="E311" t="str">
        <v>GARCIA VITOR</v>
      </c>
      <c r="F311" t="str">
        <v>AFLOJ. PROTES</v>
      </c>
      <c r="G311" t="str">
        <v xml:space="preserve">PTC CEMENT/ COTILO D </v>
      </c>
      <c r="H311" t="str">
        <v>VILLALBA</v>
      </c>
      <c r="I311" t="str">
        <v>ACEPTADO</v>
      </c>
      <c r="J311" t="str">
        <v>LA PAZ</v>
      </c>
      <c r="K311" t="str">
        <v>PAMI</v>
      </c>
      <c r="L311">
        <v>0</v>
      </c>
    </row>
    <row r="312" spans="2:12" x14ac:dyDescent="0.25">
      <c r="B312" s="20">
        <v>45260</v>
      </c>
      <c r="C312" t="str">
        <v xml:space="preserve">SAAVEDRA RUBEN </v>
      </c>
      <c r="D312">
        <v>23</v>
      </c>
      <c r="E312" t="str">
        <v>YACOMO</v>
      </c>
      <c r="F312" t="str">
        <v>LCA</v>
      </c>
      <c r="G312" t="str">
        <v xml:space="preserve">TORNILLOS INTERF BOTON </v>
      </c>
      <c r="H312">
        <v>0</v>
      </c>
      <c r="I312" t="str">
        <v xml:space="preserve">INICIADO </v>
      </c>
      <c r="J312" t="str">
        <v>FEDERAL</v>
      </c>
      <c r="K312" t="str">
        <v>S/M</v>
      </c>
      <c r="L312">
        <v>0</v>
      </c>
    </row>
    <row r="313" spans="2:12" x14ac:dyDescent="0.25">
      <c r="B313" s="20">
        <v>45260</v>
      </c>
      <c r="C313" t="str">
        <v xml:space="preserve">OVIEDO JUAN </v>
      </c>
      <c r="D313">
        <v>52</v>
      </c>
      <c r="E313" t="str">
        <v>CATRIEL GODOY</v>
      </c>
      <c r="F313" t="str">
        <v xml:space="preserve">NOA </v>
      </c>
      <c r="G313" t="str">
        <v>PTC NO CEMENT</v>
      </c>
      <c r="H313">
        <v>0</v>
      </c>
      <c r="I313" t="str">
        <v xml:space="preserve">INICIADO </v>
      </c>
      <c r="J313" t="str">
        <v>LUCAS GONZALEZ</v>
      </c>
      <c r="K313" t="str">
        <v>S/M</v>
      </c>
      <c r="L313">
        <v>0</v>
      </c>
    </row>
    <row r="314" spans="2:12" x14ac:dyDescent="0.25">
      <c r="B314" s="20">
        <v>45264</v>
      </c>
      <c r="C314" t="str">
        <v xml:space="preserve">GUZMAN GLORIA </v>
      </c>
      <c r="D314">
        <v>61</v>
      </c>
      <c r="E314" t="str">
        <v>UCEDO</v>
      </c>
      <c r="F314" t="str">
        <v>HALLUX VALGO</v>
      </c>
      <c r="G314" t="str">
        <v>TOR.TIPO BAROUK</v>
      </c>
      <c r="H314" t="str">
        <v xml:space="preserve">VILLALBA </v>
      </c>
      <c r="I314" t="str">
        <v>ACEPTADO</v>
      </c>
      <c r="J314" t="str">
        <v>PARANÁ</v>
      </c>
      <c r="K314" t="str">
        <v>PAMI</v>
      </c>
      <c r="L314">
        <v>0</v>
      </c>
    </row>
    <row r="315" spans="2:12" x14ac:dyDescent="0.25">
      <c r="B315" s="20">
        <v>45264</v>
      </c>
      <c r="C315" t="str">
        <v xml:space="preserve">PATRIARCA STELLA MARIS </v>
      </c>
      <c r="D315">
        <v>66</v>
      </c>
      <c r="E315" t="str">
        <v>UCEDO</v>
      </c>
      <c r="F315" t="str">
        <v>HALLUX VALGO</v>
      </c>
      <c r="G315" t="str">
        <v>TOR.TIPO BAROUK</v>
      </c>
      <c r="H315" t="str">
        <v xml:space="preserve">VILLALBA </v>
      </c>
      <c r="I315" t="str">
        <v>ACEPTADO</v>
      </c>
      <c r="J315" t="str">
        <v>PARANÁ</v>
      </c>
      <c r="K315" t="str">
        <v>PAMI</v>
      </c>
      <c r="L315">
        <v>0</v>
      </c>
    </row>
    <row r="316" spans="2:12" x14ac:dyDescent="0.25">
      <c r="B316" s="20">
        <v>45266</v>
      </c>
      <c r="C316" t="str">
        <v xml:space="preserve">CORREA PATRICIA </v>
      </c>
      <c r="D316">
        <v>57</v>
      </c>
      <c r="E316" t="str">
        <v>RESIDENTES</v>
      </c>
      <c r="F316" t="str">
        <v xml:space="preserve">FX MUÑECA </v>
      </c>
      <c r="G316" t="str">
        <v>PLACA VOLAR</v>
      </c>
      <c r="H316" t="str">
        <v>X BANCO</v>
      </c>
      <c r="I316" t="str">
        <v>INICIADO</v>
      </c>
      <c r="J316" t="str">
        <v xml:space="preserve">DIAMANTE </v>
      </c>
      <c r="K316" t="str">
        <v>S/M</v>
      </c>
      <c r="L316">
        <v>0</v>
      </c>
    </row>
    <row r="317" spans="2:12" x14ac:dyDescent="0.25">
      <c r="B317" s="20">
        <v>45267</v>
      </c>
      <c r="C317" t="str">
        <v xml:space="preserve">GIMENEZ ROSA </v>
      </c>
      <c r="D317">
        <v>39</v>
      </c>
      <c r="E317" t="str">
        <v>YACOMO</v>
      </c>
      <c r="F317" t="str">
        <v xml:space="preserve">LCA </v>
      </c>
      <c r="G317" t="str">
        <v>TOR/BOTON CORT</v>
      </c>
      <c r="H317">
        <v>0</v>
      </c>
      <c r="I317" t="str">
        <v>INICIADO</v>
      </c>
      <c r="J317" t="str">
        <v>VILLAGUAY</v>
      </c>
      <c r="K317" t="str">
        <v>S/M</v>
      </c>
      <c r="L317">
        <v>0</v>
      </c>
    </row>
    <row r="318" spans="2:12" x14ac:dyDescent="0.25">
      <c r="B318" s="20">
        <v>45271</v>
      </c>
      <c r="C318" t="str">
        <v xml:space="preserve">GODOY HECTOR </v>
      </c>
      <c r="D318">
        <v>77</v>
      </c>
      <c r="E318" t="str">
        <v>GARCIA VITOR</v>
      </c>
      <c r="F318" t="str">
        <v>GENU VALGO</v>
      </c>
      <c r="G318" t="str">
        <v xml:space="preserve">PTR ANATOMICA </v>
      </c>
      <c r="H318" t="str">
        <v xml:space="preserve">VILLALBA </v>
      </c>
      <c r="I318" t="str">
        <v>ACEPTADO</v>
      </c>
      <c r="J318" t="str">
        <v>PARANÁ</v>
      </c>
      <c r="K318" t="str">
        <v>PAMI</v>
      </c>
      <c r="L318">
        <v>0</v>
      </c>
    </row>
    <row r="319" spans="2:12" x14ac:dyDescent="0.25">
      <c r="B319" s="20">
        <v>45271</v>
      </c>
      <c r="C319" t="str">
        <v>SILVA CARMELO</v>
      </c>
      <c r="D319">
        <v>82</v>
      </c>
      <c r="E319" t="str">
        <v>GARCIA VITOR</v>
      </c>
      <c r="F319" t="str">
        <v>GONARTROSIS</v>
      </c>
      <c r="G319" t="str">
        <v xml:space="preserve">PTR ANATOMICA </v>
      </c>
      <c r="H319" t="str">
        <v xml:space="preserve">VILLALBA </v>
      </c>
      <c r="I319" t="str">
        <v>SUSPENDIDO</v>
      </c>
      <c r="J319" t="str">
        <v>PARANÁ</v>
      </c>
      <c r="K319" t="str">
        <v>PAMI</v>
      </c>
      <c r="L319">
        <v>0</v>
      </c>
    </row>
    <row r="320" spans="2:12" x14ac:dyDescent="0.25">
      <c r="B320" s="20">
        <v>45271</v>
      </c>
      <c r="C320" t="str">
        <v xml:space="preserve">WAGNER OLGA </v>
      </c>
      <c r="D320">
        <v>75</v>
      </c>
      <c r="E320" t="str">
        <v>GARCIA VITOR</v>
      </c>
      <c r="F320" t="str">
        <v>AFLOJ ACEPTICO</v>
      </c>
      <c r="G320" t="str">
        <v xml:space="preserve">PTR REVISION </v>
      </c>
      <c r="H320" t="str">
        <v xml:space="preserve">VILLALBA </v>
      </c>
      <c r="I320" t="str">
        <v>ACEPTADO</v>
      </c>
      <c r="J320" t="str">
        <v>PARANÁ</v>
      </c>
      <c r="K320" t="str">
        <v>PAMI</v>
      </c>
      <c r="L320">
        <v>0</v>
      </c>
    </row>
    <row r="321" spans="2:12" x14ac:dyDescent="0.25">
      <c r="B321" s="20">
        <v>45272</v>
      </c>
      <c r="C321" t="str">
        <v xml:space="preserve">BARROSO JOSEFA </v>
      </c>
      <c r="D321">
        <v>94</v>
      </c>
      <c r="E321" t="str">
        <v>COLLOMB</v>
      </c>
      <c r="F321" t="str">
        <v xml:space="preserve">FX CADERA  </v>
      </c>
      <c r="G321" t="str">
        <v xml:space="preserve">PPC THOMPSON </v>
      </c>
      <c r="H321" t="str">
        <v xml:space="preserve">VILLALBA </v>
      </c>
      <c r="I321" t="str">
        <v>ACEPTADO</v>
      </c>
      <c r="J321" t="str">
        <v>PARANÁ</v>
      </c>
      <c r="K321" t="str">
        <v>PAMI</v>
      </c>
      <c r="L321">
        <v>0</v>
      </c>
    </row>
    <row r="322" spans="2:12" x14ac:dyDescent="0.25">
      <c r="B322" s="20">
        <v>45272</v>
      </c>
      <c r="C322" t="str">
        <v xml:space="preserve">GONZALEZ  LILIANA </v>
      </c>
      <c r="D322">
        <v>66</v>
      </c>
      <c r="E322" t="str">
        <v>CATRIEL GODOY</v>
      </c>
      <c r="F322" t="str">
        <v>RUPT MANG.ROT</v>
      </c>
      <c r="G322" t="str">
        <v>ARPONES</v>
      </c>
      <c r="H322" t="str">
        <v>VILLALBA</v>
      </c>
      <c r="I322" t="str">
        <v>ACEPTADO</v>
      </c>
      <c r="J322" t="str">
        <v>PARANÁ</v>
      </c>
      <c r="K322" t="str">
        <v>PAMI</v>
      </c>
      <c r="L322">
        <v>0</v>
      </c>
    </row>
    <row r="323" spans="2:12" x14ac:dyDescent="0.25">
      <c r="B323" s="20">
        <v>45272</v>
      </c>
      <c r="C323" t="str">
        <v xml:space="preserve">FERNANDEZ RAMONA </v>
      </c>
      <c r="D323">
        <v>81</v>
      </c>
      <c r="E323" t="str">
        <v>GARCIA VITOR</v>
      </c>
      <c r="F323" t="str">
        <v>FX CADERA</v>
      </c>
      <c r="G323" t="str">
        <v>PTC CEMEN/COTILO</v>
      </c>
      <c r="H323" t="str">
        <v xml:space="preserve">VILLALBA </v>
      </c>
      <c r="I323" t="str">
        <v>ACEPTADO</v>
      </c>
      <c r="J323" t="str">
        <v>PARANÁ</v>
      </c>
      <c r="K323" t="str">
        <v>PAMI</v>
      </c>
      <c r="L323">
        <v>0</v>
      </c>
    </row>
    <row r="324" spans="2:12" x14ac:dyDescent="0.25">
      <c r="B324" s="20">
        <v>45272</v>
      </c>
      <c r="C324" t="str">
        <v xml:space="preserve">HAEDO  NELIDA </v>
      </c>
      <c r="D324">
        <v>0</v>
      </c>
      <c r="E324" t="str">
        <v xml:space="preserve">HERMIDA </v>
      </c>
      <c r="F324" t="str">
        <v>AFLOJ PRT</v>
      </c>
      <c r="G324" t="str">
        <v xml:space="preserve">PTC HIBRIDA </v>
      </c>
      <c r="H324" t="str">
        <v xml:space="preserve">VILLALBA </v>
      </c>
      <c r="I324" t="str">
        <v>ACEPTADO</v>
      </c>
      <c r="J324" t="str">
        <v>PARANÁ</v>
      </c>
      <c r="K324" t="str">
        <v>PAMI</v>
      </c>
      <c r="L324">
        <v>0</v>
      </c>
    </row>
    <row r="325" spans="2:12" x14ac:dyDescent="0.25">
      <c r="B325" s="20">
        <v>45273</v>
      </c>
      <c r="C325" t="str">
        <v xml:space="preserve">RION JUANA </v>
      </c>
      <c r="D325">
        <v>69</v>
      </c>
      <c r="E325" t="str">
        <v>COLLOMB</v>
      </c>
      <c r="F325" t="str">
        <v>FX FEMUR</v>
      </c>
      <c r="G325" t="str">
        <v>PLACA DISTAL/TORN/CLAVO</v>
      </c>
      <c r="H325" t="str">
        <v xml:space="preserve">VILLALBA </v>
      </c>
      <c r="I325" t="str">
        <v>ACEPTADO</v>
      </c>
      <c r="J325" t="str">
        <v>PARANÁ</v>
      </c>
      <c r="K325" t="str">
        <v>PAMI</v>
      </c>
      <c r="L325">
        <v>0</v>
      </c>
    </row>
    <row r="326" spans="2:12" x14ac:dyDescent="0.25">
      <c r="B326" s="20">
        <v>45273</v>
      </c>
      <c r="C326" t="str">
        <v>KESSLER ISABEL</v>
      </c>
      <c r="D326">
        <v>80</v>
      </c>
      <c r="E326" t="str">
        <v>COLLOMB</v>
      </c>
      <c r="F326" t="str">
        <v>FX CADERA</v>
      </c>
      <c r="G326" t="str">
        <v>PTC CEMEN/COTILO</v>
      </c>
      <c r="H326" t="str">
        <v xml:space="preserve">VILLALBA </v>
      </c>
      <c r="I326" t="str">
        <v>ACEPTADO</v>
      </c>
      <c r="J326" t="str">
        <v>PARANÁ</v>
      </c>
      <c r="K326" t="str">
        <v>PAMI</v>
      </c>
      <c r="L326">
        <v>0</v>
      </c>
    </row>
    <row r="327" spans="2:12" x14ac:dyDescent="0.25">
      <c r="B327" s="20">
        <v>45275</v>
      </c>
      <c r="C327" t="str">
        <v>LELL ANITA</v>
      </c>
      <c r="D327">
        <v>71</v>
      </c>
      <c r="E327" t="str">
        <v>COLLOMB</v>
      </c>
      <c r="F327" t="str">
        <v>FX HUMERO</v>
      </c>
      <c r="G327" t="str">
        <v>PLACA PHILOS</v>
      </c>
      <c r="H327" t="str">
        <v xml:space="preserve">VILLALBA </v>
      </c>
      <c r="I327" t="str">
        <v>ACEPTADO</v>
      </c>
      <c r="J327" t="str">
        <v>PARANÁ</v>
      </c>
      <c r="K327" t="str">
        <v>PAMI</v>
      </c>
      <c r="L327">
        <v>0</v>
      </c>
    </row>
    <row r="328" spans="2:12" x14ac:dyDescent="0.25">
      <c r="B328" s="20">
        <v>45275</v>
      </c>
      <c r="C328" t="str">
        <v>MARTINEZ FRANCO</v>
      </c>
      <c r="D328">
        <v>22</v>
      </c>
      <c r="E328" t="str">
        <v>GARCIA VITOR</v>
      </c>
      <c r="F328" t="str">
        <v>LCA</v>
      </c>
      <c r="G328" t="str">
        <v>TOR/BOTON CORT</v>
      </c>
      <c r="H328">
        <v>0</v>
      </c>
      <c r="I328" t="str">
        <v>INICIADO</v>
      </c>
      <c r="J328" t="str">
        <v>DIAMANTE</v>
      </c>
      <c r="K328" t="str">
        <v>S/M</v>
      </c>
      <c r="L328">
        <v>0</v>
      </c>
    </row>
    <row r="329" spans="2:12" x14ac:dyDescent="0.25">
      <c r="B329" s="20">
        <v>45275</v>
      </c>
      <c r="C329" t="str">
        <v xml:space="preserve">ALVAREZ JOSE </v>
      </c>
      <c r="D329">
        <v>47</v>
      </c>
      <c r="E329" t="str">
        <v>STOPELLO</v>
      </c>
      <c r="F329" t="str">
        <v>COXARTROSIS</v>
      </c>
      <c r="G329" t="str">
        <v>PTC NO CEMENTADA</v>
      </c>
      <c r="H329">
        <v>0</v>
      </c>
      <c r="I329" t="str">
        <v>INICIADO</v>
      </c>
      <c r="J329" t="str">
        <v>PARANÁ</v>
      </c>
      <c r="K329" t="str">
        <v>S/M</v>
      </c>
      <c r="L329">
        <v>0</v>
      </c>
    </row>
    <row r="330" spans="2:12" x14ac:dyDescent="0.25">
      <c r="B330" s="20">
        <v>45275</v>
      </c>
      <c r="C330" t="str">
        <v>CASCO MIRIAM</v>
      </c>
      <c r="D330">
        <v>63</v>
      </c>
      <c r="E330" t="str">
        <v>COLLOMB</v>
      </c>
      <c r="F330" t="str">
        <v>GONARTROSIS</v>
      </c>
      <c r="G330" t="str">
        <v>PTR ANATOMICA</v>
      </c>
      <c r="H330" t="str">
        <v>IP MAGNA</v>
      </c>
      <c r="I330" t="str">
        <v>ACEPTADO</v>
      </c>
      <c r="J330" t="str">
        <v>PARANÁ</v>
      </c>
      <c r="K330" t="str">
        <v>PAMI</v>
      </c>
      <c r="L330">
        <v>0</v>
      </c>
    </row>
    <row r="331" spans="2:12" x14ac:dyDescent="0.25">
      <c r="B331" s="20">
        <v>45275</v>
      </c>
      <c r="C331" t="str">
        <v xml:space="preserve">SLOBODZIAN JUAN </v>
      </c>
      <c r="D331">
        <v>66</v>
      </c>
      <c r="E331" t="str">
        <v>COLLOMB</v>
      </c>
      <c r="F331" t="str">
        <v>FX TIB Y PERONE</v>
      </c>
      <c r="G331" t="str">
        <v>PLAC T TUBO/CLAVO</v>
      </c>
      <c r="H331" t="str">
        <v xml:space="preserve">VILLALBA </v>
      </c>
      <c r="I331" t="str">
        <v>ACEPTADO</v>
      </c>
      <c r="J331" t="str">
        <v>PARANÁ</v>
      </c>
      <c r="K331" t="str">
        <v>PAMI</v>
      </c>
      <c r="L331">
        <v>0</v>
      </c>
    </row>
    <row r="332" spans="2:12" x14ac:dyDescent="0.25">
      <c r="B332" s="20">
        <v>45275</v>
      </c>
      <c r="C332" t="str">
        <v>GERSTNER VICTORIA</v>
      </c>
      <c r="D332">
        <v>65</v>
      </c>
      <c r="E332" t="str">
        <v>STOPELLO</v>
      </c>
      <c r="F332" t="str">
        <v>COXARTROSIS</v>
      </c>
      <c r="G332" t="str">
        <v>PTC NO CEMENTADA</v>
      </c>
      <c r="H332" t="str">
        <v xml:space="preserve">VILLALBA </v>
      </c>
      <c r="I332" t="str">
        <v>ACEPTADO</v>
      </c>
      <c r="J332" t="str">
        <v>PARANÁ</v>
      </c>
      <c r="K332" t="str">
        <v>PAMI</v>
      </c>
      <c r="L332">
        <v>0</v>
      </c>
    </row>
    <row r="333" spans="2:12" x14ac:dyDescent="0.25">
      <c r="B333" s="20">
        <v>45275</v>
      </c>
      <c r="C333" t="str">
        <v xml:space="preserve">SUAREZ JOSEFA </v>
      </c>
      <c r="D333">
        <v>77</v>
      </c>
      <c r="E333" t="str">
        <v>STOPELLO</v>
      </c>
      <c r="F333" t="str">
        <v>GONARTROSIS</v>
      </c>
      <c r="G333" t="str">
        <v>PTR ANATOMICA</v>
      </c>
      <c r="H333" t="str">
        <v xml:space="preserve">VILLALBA </v>
      </c>
      <c r="I333" t="str">
        <v>ACEPTADO</v>
      </c>
      <c r="J333" t="str">
        <v>PARANÁ</v>
      </c>
      <c r="K333" t="str">
        <v>PAMI</v>
      </c>
      <c r="L333">
        <v>0</v>
      </c>
    </row>
    <row r="334" spans="2:12" x14ac:dyDescent="0.25">
      <c r="B334" s="20">
        <v>45275</v>
      </c>
      <c r="C334" t="str">
        <v>LARROCHE JUAN</v>
      </c>
      <c r="D334">
        <v>68</v>
      </c>
      <c r="E334" t="str">
        <v>STOPELLO</v>
      </c>
      <c r="F334" t="str">
        <v>COXARTROSIS</v>
      </c>
      <c r="G334" t="str">
        <v>PTC CEMEN/COTILO</v>
      </c>
      <c r="H334" t="str">
        <v>IP MAGNA</v>
      </c>
      <c r="I334" t="str">
        <v>ACEPTADO</v>
      </c>
      <c r="J334" t="str">
        <v>PARANÁ</v>
      </c>
      <c r="K334" t="str">
        <v>PAMI</v>
      </c>
      <c r="L334">
        <v>0</v>
      </c>
    </row>
    <row r="335" spans="2:12" x14ac:dyDescent="0.25">
      <c r="B335" s="20">
        <v>45275</v>
      </c>
      <c r="C335" t="str">
        <v xml:space="preserve">FERNANDEZ  DAIANA </v>
      </c>
      <c r="D335">
        <v>17</v>
      </c>
      <c r="E335" t="str">
        <v xml:space="preserve">URANGA </v>
      </c>
      <c r="F335" t="str">
        <v xml:space="preserve">ESCOLIOSIS </v>
      </c>
      <c r="G335" t="str">
        <v>TOR/BARRAS/CLIF</v>
      </c>
      <c r="H335">
        <v>0</v>
      </c>
      <c r="I335" t="str">
        <v>INICIADO</v>
      </c>
      <c r="J335" t="str">
        <v>LA PAZ</v>
      </c>
      <c r="K335" t="str">
        <v>S/M</v>
      </c>
      <c r="L335">
        <v>0</v>
      </c>
    </row>
    <row r="336" spans="2:12" x14ac:dyDescent="0.25">
      <c r="B336" s="20">
        <v>45275</v>
      </c>
      <c r="C336" t="str">
        <v xml:space="preserve">FERNANDEZ DAIANA </v>
      </c>
      <c r="D336">
        <v>17</v>
      </c>
      <c r="E336" t="str">
        <v xml:space="preserve">URANGA </v>
      </c>
      <c r="F336" t="str">
        <v xml:space="preserve">ESCOLIOSIS </v>
      </c>
      <c r="G336">
        <v>0</v>
      </c>
      <c r="H336">
        <v>0</v>
      </c>
      <c r="I336" t="str">
        <v>INICIADO</v>
      </c>
      <c r="J336" t="str">
        <v>LA PAZ</v>
      </c>
      <c r="K336" t="str">
        <v>S/M</v>
      </c>
      <c r="L336">
        <v>0</v>
      </c>
    </row>
    <row r="337" spans="2:12" x14ac:dyDescent="0.25">
      <c r="B337" s="20">
        <v>45275</v>
      </c>
      <c r="C337" t="str">
        <v xml:space="preserve">SANCHEZ MICAELA </v>
      </c>
      <c r="D337">
        <v>28</v>
      </c>
      <c r="E337">
        <v>0</v>
      </c>
      <c r="F337" t="str">
        <v>LCA</v>
      </c>
      <c r="G337" t="str">
        <v xml:space="preserve">TORN/BOTON </v>
      </c>
      <c r="H337">
        <v>0</v>
      </c>
      <c r="I337" t="str">
        <v>INICIADO</v>
      </c>
      <c r="J337" t="str">
        <v>PARANÁ</v>
      </c>
      <c r="K337" t="str">
        <v>S/M</v>
      </c>
      <c r="L337">
        <v>0</v>
      </c>
    </row>
    <row r="338" spans="2:12" x14ac:dyDescent="0.25">
      <c r="B338" s="20">
        <v>45275</v>
      </c>
      <c r="C338" t="str">
        <v xml:space="preserve">BRAVO FLORENCIA </v>
      </c>
      <c r="D338">
        <v>25</v>
      </c>
      <c r="E338">
        <v>0</v>
      </c>
      <c r="F338" t="str">
        <v>LCA</v>
      </c>
      <c r="G338" t="str">
        <v xml:space="preserve">TORN/BOTON </v>
      </c>
      <c r="H338">
        <v>0</v>
      </c>
      <c r="I338" t="str">
        <v>INICIADO</v>
      </c>
      <c r="J338" t="str">
        <v>PARANÁ</v>
      </c>
      <c r="K338" t="str">
        <v>S/M</v>
      </c>
      <c r="L338">
        <v>0</v>
      </c>
    </row>
    <row r="339" spans="2:12" x14ac:dyDescent="0.25">
      <c r="B339" s="20">
        <v>45275</v>
      </c>
      <c r="C339" t="str">
        <v>DIEMENT JUDITH</v>
      </c>
      <c r="D339">
        <v>60</v>
      </c>
      <c r="E339" t="str">
        <v>UCEDO</v>
      </c>
      <c r="F339" t="str">
        <v>NECROSIS CAD</v>
      </c>
      <c r="G339" t="str">
        <v>PTC NO CEMENTADA</v>
      </c>
      <c r="H339">
        <v>0</v>
      </c>
      <c r="I339" t="str">
        <v>INICIADO</v>
      </c>
      <c r="J339" t="str">
        <v>PARANÁ</v>
      </c>
      <c r="K339" t="str">
        <v>S/M</v>
      </c>
      <c r="L339">
        <v>0</v>
      </c>
    </row>
    <row r="340" spans="2:12" x14ac:dyDescent="0.25">
      <c r="B340" s="20">
        <v>45278</v>
      </c>
      <c r="C340" t="str">
        <v xml:space="preserve">LALLANA MARIA ROSA </v>
      </c>
      <c r="D340">
        <v>60</v>
      </c>
      <c r="E340" t="str">
        <v>UCEDO</v>
      </c>
      <c r="F340" t="str">
        <v>HALLUX VALGO</v>
      </c>
      <c r="G340" t="str">
        <v>TORN BAROUK</v>
      </c>
      <c r="H340">
        <v>0</v>
      </c>
      <c r="I340" t="str">
        <v>INICIADO</v>
      </c>
      <c r="J340" t="str">
        <v>PARANÁ</v>
      </c>
      <c r="K340" t="str">
        <v>S/M</v>
      </c>
      <c r="L340">
        <v>0</v>
      </c>
    </row>
    <row r="341" spans="2:12" x14ac:dyDescent="0.25">
      <c r="B341" s="20">
        <v>45280</v>
      </c>
      <c r="C341" t="str">
        <v>OJEDA MARIA LUISA</v>
      </c>
      <c r="D341">
        <v>60</v>
      </c>
      <c r="E341" t="str">
        <v>GARCIA VITOR</v>
      </c>
      <c r="F341" t="str">
        <v>GONARTROSIS</v>
      </c>
      <c r="G341" t="str">
        <v>PTR ANATOMICA</v>
      </c>
      <c r="H341" t="str">
        <v xml:space="preserve">VILLALBA </v>
      </c>
      <c r="I341" t="str">
        <v>ACEPTADO</v>
      </c>
      <c r="J341" t="str">
        <v>PARANÁ</v>
      </c>
      <c r="K341" t="str">
        <v>PAMI</v>
      </c>
      <c r="L341">
        <v>0</v>
      </c>
    </row>
    <row r="342" spans="2:12" x14ac:dyDescent="0.25">
      <c r="B342" s="20">
        <v>45281</v>
      </c>
      <c r="C342" t="str">
        <v xml:space="preserve">CASTELLANO KEVIN </v>
      </c>
      <c r="D342">
        <v>16</v>
      </c>
      <c r="E342" t="str">
        <v>YACOMO</v>
      </c>
      <c r="F342" t="str">
        <v>LCA</v>
      </c>
      <c r="G342" t="str">
        <v xml:space="preserve">TRON/BOTON </v>
      </c>
      <c r="H342">
        <v>0</v>
      </c>
      <c r="I342" t="str">
        <v>INICIADO</v>
      </c>
      <c r="J342" t="str">
        <v>LA PAZ</v>
      </c>
      <c r="K342" t="str">
        <v>S/M</v>
      </c>
      <c r="L342">
        <v>0</v>
      </c>
    </row>
    <row r="343" spans="2:12" x14ac:dyDescent="0.25">
      <c r="B343" s="20">
        <v>45281</v>
      </c>
      <c r="C343" t="str">
        <v>BENITEZ ANDRES</v>
      </c>
      <c r="D343">
        <v>28</v>
      </c>
      <c r="E343" t="str">
        <v>YACOMO</v>
      </c>
      <c r="F343" t="str">
        <v>LCA</v>
      </c>
      <c r="G343" t="str">
        <v xml:space="preserve">TRON/BOTON </v>
      </c>
      <c r="H343">
        <v>0</v>
      </c>
      <c r="I343" t="str">
        <v>INICIADO</v>
      </c>
      <c r="J343" t="str">
        <v>LA PAZ</v>
      </c>
      <c r="K343" t="str">
        <v>S/M</v>
      </c>
      <c r="L343">
        <v>0</v>
      </c>
    </row>
    <row r="344" spans="2:12" x14ac:dyDescent="0.25">
      <c r="B344" s="20">
        <v>45282</v>
      </c>
      <c r="C344" t="str">
        <v>BENITEZ FRANCO</v>
      </c>
      <c r="D344">
        <v>21</v>
      </c>
      <c r="E344" t="str">
        <v>PELEGRINI</v>
      </c>
      <c r="F344" t="str">
        <v>LCA</v>
      </c>
      <c r="G344" t="str">
        <v xml:space="preserve">TRON/BOTON </v>
      </c>
      <c r="H344">
        <v>0</v>
      </c>
      <c r="I344" t="str">
        <v>ACEPTADO</v>
      </c>
      <c r="J344" t="str">
        <v>CRESPO</v>
      </c>
      <c r="K344" t="str">
        <v>S/M</v>
      </c>
      <c r="L344">
        <v>0</v>
      </c>
    </row>
    <row r="345" spans="2:12" x14ac:dyDescent="0.25">
      <c r="B345" s="20">
        <v>45286</v>
      </c>
      <c r="C345" t="str">
        <v xml:space="preserve">TORTUL GRACIELA </v>
      </c>
      <c r="D345">
        <v>68</v>
      </c>
      <c r="E345" t="str">
        <v>COLLOMB</v>
      </c>
      <c r="F345" t="str">
        <v>FX FEMUR</v>
      </c>
      <c r="G345" t="str">
        <v>PLACA COND</v>
      </c>
      <c r="H345" t="str">
        <v>VILLALBA</v>
      </c>
      <c r="I345" t="str">
        <v>ACEPTADO</v>
      </c>
      <c r="J345" t="str">
        <v>PARANÁ</v>
      </c>
      <c r="K345" t="str">
        <v>PAMI</v>
      </c>
      <c r="L345">
        <v>0</v>
      </c>
    </row>
    <row r="346" spans="2:12" x14ac:dyDescent="0.25">
      <c r="B346" s="20">
        <v>45286</v>
      </c>
      <c r="C346" t="str">
        <v xml:space="preserve">PEREYRA ESTER </v>
      </c>
      <c r="D346">
        <v>67</v>
      </c>
      <c r="E346">
        <v>0</v>
      </c>
      <c r="F346" t="str">
        <v>GONARTROSIS</v>
      </c>
      <c r="G346" t="str">
        <v xml:space="preserve">RTR ANATOMICA </v>
      </c>
      <c r="H346" t="str">
        <v>IP MAGNA</v>
      </c>
      <c r="I346" t="str">
        <v>ACEPTADO</v>
      </c>
      <c r="J346" t="str">
        <v>ALCARAZ</v>
      </c>
      <c r="K346" t="str">
        <v>PAMI</v>
      </c>
      <c r="L346">
        <v>0</v>
      </c>
    </row>
    <row r="347" spans="2:12" x14ac:dyDescent="0.25">
      <c r="B347" s="20">
        <v>45293</v>
      </c>
      <c r="C347" t="str">
        <v xml:space="preserve">VALIENTE NELIDA </v>
      </c>
      <c r="D347">
        <v>24</v>
      </c>
      <c r="E347" t="str">
        <v>VENTURI</v>
      </c>
      <c r="F347" t="str">
        <v xml:space="preserve"> </v>
      </c>
      <c r="G347" t="str">
        <v>PLACA LCP</v>
      </c>
      <c r="H347">
        <v>0</v>
      </c>
      <c r="I347" t="str">
        <v xml:space="preserve">INICIADO </v>
      </c>
      <c r="J347" t="str">
        <v xml:space="preserve">FEDERAL </v>
      </c>
      <c r="K347" t="str">
        <v>S/M</v>
      </c>
      <c r="L347">
        <v>0</v>
      </c>
    </row>
    <row r="348" spans="2:12" x14ac:dyDescent="0.25">
      <c r="B348" s="20">
        <v>45293</v>
      </c>
      <c r="C348" t="str">
        <v xml:space="preserve">ZAPATA NELIDA </v>
      </c>
      <c r="D348">
        <v>66</v>
      </c>
      <c r="E348" t="str">
        <v xml:space="preserve">URANGA </v>
      </c>
      <c r="F348" t="str">
        <v>ESCOLISIS</v>
      </c>
      <c r="G348" t="str">
        <v>BARRA/TORNI/PLIFF</v>
      </c>
      <c r="H348" t="str">
        <v>IP MAGNA</v>
      </c>
      <c r="I348" t="str">
        <v>ACEPTADO</v>
      </c>
      <c r="J348" t="str">
        <v>LA PAZ</v>
      </c>
      <c r="K348" t="str">
        <v>PAMI</v>
      </c>
      <c r="L348">
        <v>0</v>
      </c>
    </row>
    <row r="349" spans="2:12" x14ac:dyDescent="0.25">
      <c r="B349" s="20">
        <v>45293</v>
      </c>
      <c r="C349" t="str">
        <v xml:space="preserve">ORNETTI SUSANA </v>
      </c>
      <c r="D349">
        <v>62</v>
      </c>
      <c r="E349" t="str">
        <v>GARCIA VITOR</v>
      </c>
      <c r="F349" t="str">
        <v>GONARTROSIS</v>
      </c>
      <c r="G349" t="str">
        <v xml:space="preserve">RTR ANATOMICA </v>
      </c>
      <c r="H349" t="str">
        <v>VILLALBA</v>
      </c>
      <c r="I349" t="str">
        <v>ACEPTADO</v>
      </c>
      <c r="J349" t="str">
        <v>PARANÁ</v>
      </c>
      <c r="K349" t="str">
        <v>PAMI</v>
      </c>
      <c r="L349">
        <v>0</v>
      </c>
    </row>
    <row r="350" spans="2:12" x14ac:dyDescent="0.25">
      <c r="B350" s="20">
        <v>45295</v>
      </c>
      <c r="C350" t="str">
        <v xml:space="preserve">NIETO PATRICIA </v>
      </c>
      <c r="D350">
        <v>50</v>
      </c>
      <c r="E350" t="str">
        <v>SUKSDORF</v>
      </c>
      <c r="F350" t="str">
        <v>NOA</v>
      </c>
      <c r="G350" t="str">
        <v>PTC NO CEEMNET</v>
      </c>
      <c r="H350">
        <v>0</v>
      </c>
      <c r="I350" t="str">
        <v xml:space="preserve">INICIADO </v>
      </c>
      <c r="J350" t="str">
        <v>PARANÁ</v>
      </c>
      <c r="K350" t="str">
        <v>S/M</v>
      </c>
      <c r="L350">
        <v>0</v>
      </c>
    </row>
    <row r="351" spans="2:12" x14ac:dyDescent="0.25">
      <c r="B351" s="20">
        <v>45295</v>
      </c>
      <c r="C351" t="str">
        <v xml:space="preserve">TENTOR JULIO </v>
      </c>
      <c r="D351">
        <v>39</v>
      </c>
      <c r="E351" t="str">
        <v>GARCIA VITOR</v>
      </c>
      <c r="F351" t="str">
        <v>NECROSIS CAD D</v>
      </c>
      <c r="G351" t="str">
        <v>PTC NO CEEMNET</v>
      </c>
      <c r="H351">
        <v>0</v>
      </c>
      <c r="I351" t="str">
        <v xml:space="preserve">INICIADO </v>
      </c>
      <c r="J351" t="str">
        <v>LA PAZ</v>
      </c>
      <c r="K351" t="str">
        <v>S/M</v>
      </c>
      <c r="L351">
        <v>0</v>
      </c>
    </row>
    <row r="352" spans="2:12" x14ac:dyDescent="0.25">
      <c r="B352" s="20">
        <v>45295</v>
      </c>
      <c r="C352" t="str">
        <v xml:space="preserve">TENTOR JULIO </v>
      </c>
      <c r="D352">
        <v>39</v>
      </c>
      <c r="E352" t="str">
        <v>GARCIA VITOR</v>
      </c>
      <c r="F352" t="str">
        <v>NECROSIS CAD I</v>
      </c>
      <c r="G352" t="str">
        <v>PTC NO CEEMNET</v>
      </c>
      <c r="H352">
        <v>0</v>
      </c>
      <c r="I352" t="str">
        <v xml:space="preserve">INICIADO </v>
      </c>
      <c r="J352" t="str">
        <v>LA PAZ</v>
      </c>
      <c r="K352" t="str">
        <v>S/M</v>
      </c>
      <c r="L352">
        <v>0</v>
      </c>
    </row>
    <row r="353" spans="2:12" x14ac:dyDescent="0.25">
      <c r="B353" s="20">
        <v>45295</v>
      </c>
      <c r="C353" t="str">
        <v>TREPPAN ELENA</v>
      </c>
      <c r="D353">
        <v>72</v>
      </c>
      <c r="E353" t="str">
        <v>JACOB</v>
      </c>
      <c r="F353" t="str">
        <v xml:space="preserve">LUMBOCIATALGIA </v>
      </c>
      <c r="G353" t="str">
        <v>BARRA/TORNI/PLIFF</v>
      </c>
      <c r="H353">
        <v>0</v>
      </c>
      <c r="I353" t="str">
        <v xml:space="preserve">INICIADO </v>
      </c>
      <c r="J353" t="str">
        <v>PARANÁ</v>
      </c>
      <c r="K353" t="str">
        <v>S/M</v>
      </c>
      <c r="L353">
        <v>0</v>
      </c>
    </row>
    <row r="354" spans="2:12" x14ac:dyDescent="0.25">
      <c r="B354" s="20">
        <v>45295</v>
      </c>
      <c r="C354" t="str">
        <v xml:space="preserve">TORRES ANA </v>
      </c>
      <c r="D354">
        <v>78</v>
      </c>
      <c r="E354" t="str">
        <v>COLLOMB</v>
      </c>
      <c r="F354" t="str">
        <v>FXFEMUR/MUÑE</v>
      </c>
      <c r="G354" t="str">
        <v>PLACA DOBL/COND/TORN</v>
      </c>
      <c r="H354" t="str">
        <v>VILLALBA</v>
      </c>
      <c r="I354" t="str">
        <v>ACEPTADO</v>
      </c>
      <c r="J354" t="str">
        <v>PARANÁ</v>
      </c>
      <c r="K354" t="str">
        <v>PAMI</v>
      </c>
      <c r="L354">
        <v>0</v>
      </c>
    </row>
    <row r="355" spans="2:12" x14ac:dyDescent="0.25">
      <c r="B355" s="20">
        <v>45295</v>
      </c>
      <c r="C355" t="str">
        <v>BARRIOS LIA ZULEMA</v>
      </c>
      <c r="D355">
        <v>64</v>
      </c>
      <c r="E355" t="str">
        <v>STOPELLO</v>
      </c>
      <c r="F355" t="str">
        <v>GONARTROSIS</v>
      </c>
      <c r="G355" t="str">
        <v>PTR ANATOMICA</v>
      </c>
      <c r="H355" t="str">
        <v>IP MAGNA</v>
      </c>
      <c r="I355" t="str">
        <v>ACEPTADO</v>
      </c>
      <c r="J355" t="str">
        <v>PARANÁ</v>
      </c>
      <c r="K355" t="str">
        <v>PAMI</v>
      </c>
      <c r="L355">
        <v>0</v>
      </c>
    </row>
    <row r="356" spans="2:12" x14ac:dyDescent="0.25">
      <c r="B356" s="20">
        <v>45296</v>
      </c>
      <c r="C356" t="str">
        <v xml:space="preserve">ACHIABRANDO MANUEL </v>
      </c>
      <c r="D356">
        <v>65</v>
      </c>
      <c r="E356" t="str">
        <v>STOPELLO</v>
      </c>
      <c r="F356" t="str">
        <v>GONARTROSIS</v>
      </c>
      <c r="G356" t="str">
        <v>PTR ANATOMICA</v>
      </c>
      <c r="H356" t="str">
        <v>IP MAGNA</v>
      </c>
      <c r="I356" t="str">
        <v>ACEPTADO</v>
      </c>
      <c r="J356" t="str">
        <v>PARANÁ</v>
      </c>
      <c r="K356" t="str">
        <v>PAMI</v>
      </c>
      <c r="L356">
        <v>0</v>
      </c>
    </row>
    <row r="357" spans="2:12" x14ac:dyDescent="0.25">
      <c r="B357" s="20">
        <v>45299</v>
      </c>
      <c r="C357" t="str">
        <v>MAZADRI GREGORIA</v>
      </c>
      <c r="D357">
        <v>88</v>
      </c>
      <c r="E357" t="str">
        <v>COLLOMB</v>
      </c>
      <c r="F357" t="str">
        <v>FX CADERA</v>
      </c>
      <c r="G357" t="str">
        <v>CLAVO GAMMA</v>
      </c>
      <c r="H357" t="str">
        <v>VILLALBA</v>
      </c>
      <c r="I357" t="str">
        <v>ACEPTADO</v>
      </c>
      <c r="J357" t="str">
        <v>PARANÁ</v>
      </c>
      <c r="K357" t="str">
        <v>PAMI</v>
      </c>
      <c r="L357">
        <v>0</v>
      </c>
    </row>
    <row r="358" spans="2:12" x14ac:dyDescent="0.25">
      <c r="B358" s="20">
        <v>45299</v>
      </c>
      <c r="C358" t="str">
        <v>ESPINDOLA LEONARDO</v>
      </c>
      <c r="D358">
        <v>46</v>
      </c>
      <c r="E358" t="str">
        <v>UCEDO</v>
      </c>
      <c r="F358" t="str">
        <v>ARTROSIS</v>
      </c>
      <c r="G358" t="str">
        <v>TORN. ESPONJ/ARANDE</v>
      </c>
      <c r="H358">
        <v>0</v>
      </c>
      <c r="I358" t="str">
        <v xml:space="preserve">INICIADO </v>
      </c>
      <c r="J358" t="str">
        <v>PARANÁ</v>
      </c>
      <c r="K358" t="str">
        <v>S/M</v>
      </c>
      <c r="L358">
        <v>0</v>
      </c>
    </row>
    <row r="359" spans="2:12" x14ac:dyDescent="0.25">
      <c r="B359" s="20">
        <v>45299</v>
      </c>
      <c r="C359" t="str">
        <v xml:space="preserve">PASUTTI MIRTA </v>
      </c>
      <c r="D359">
        <v>65</v>
      </c>
      <c r="E359" t="str">
        <v>YACOMO</v>
      </c>
      <c r="F359" t="str">
        <v>GENU VARO</v>
      </c>
      <c r="G359" t="str">
        <v>PTR ANATOMICA</v>
      </c>
      <c r="H359" t="str">
        <v>IP MAGNA</v>
      </c>
      <c r="I359" t="str">
        <v>ACEPTADO</v>
      </c>
      <c r="J359" t="str">
        <v>PARANÁ</v>
      </c>
      <c r="K359" t="str">
        <v>PAMI</v>
      </c>
      <c r="L359">
        <v>0</v>
      </c>
    </row>
    <row r="360" spans="2:12" x14ac:dyDescent="0.25">
      <c r="B360" s="20">
        <v>45301</v>
      </c>
      <c r="C360" t="str">
        <v xml:space="preserve">FUCHS FLORA </v>
      </c>
      <c r="D360">
        <v>86</v>
      </c>
      <c r="E360" t="str">
        <v>COLLOMB</v>
      </c>
      <c r="F360" t="str">
        <v>FX CADERA</v>
      </c>
      <c r="G360" t="str">
        <v>CLAVO GAMMA</v>
      </c>
      <c r="H360" t="str">
        <v>VILLALBA</v>
      </c>
      <c r="I360" t="str">
        <v>ACEPTADO</v>
      </c>
      <c r="J360" t="str">
        <v>PARANÁ</v>
      </c>
      <c r="K360" t="str">
        <v>PAMI</v>
      </c>
      <c r="L360">
        <v>0</v>
      </c>
    </row>
    <row r="361" spans="2:12" x14ac:dyDescent="0.25">
      <c r="B361" s="20">
        <v>45302</v>
      </c>
      <c r="C361" t="str">
        <v>GONZALEZ ROBERTO</v>
      </c>
      <c r="D361">
        <v>40</v>
      </c>
      <c r="E361" t="str">
        <v>CESAR MEYNET</v>
      </c>
      <c r="F361" t="str">
        <v>DISPLASIA DE CA</v>
      </c>
      <c r="G361" t="str">
        <v>PTC NO CEMET</v>
      </c>
      <c r="H361">
        <v>0</v>
      </c>
      <c r="I361" t="str">
        <v>ACEPTADO</v>
      </c>
      <c r="J361" t="str">
        <v>PARANÁ</v>
      </c>
      <c r="K361" t="str">
        <v>S/M</v>
      </c>
      <c r="L361">
        <v>0</v>
      </c>
    </row>
    <row r="362" spans="2:12" x14ac:dyDescent="0.25">
      <c r="B362" s="20">
        <v>45307</v>
      </c>
      <c r="C362" t="str">
        <v xml:space="preserve">BASUALDO DANTE </v>
      </c>
      <c r="D362">
        <v>63</v>
      </c>
      <c r="E362" t="str">
        <v>THEAUX</v>
      </c>
      <c r="F362" t="str">
        <v xml:space="preserve">COXARTROSIS </v>
      </c>
      <c r="G362" t="str">
        <v xml:space="preserve">PTC NO CEMETN COTILO </v>
      </c>
      <c r="H362">
        <v>0</v>
      </c>
      <c r="I362" t="str">
        <v xml:space="preserve">INICIADO </v>
      </c>
      <c r="J362" t="str">
        <v>PARANÁ</v>
      </c>
      <c r="K362" t="str">
        <v>S/M</v>
      </c>
      <c r="L362">
        <v>0</v>
      </c>
    </row>
    <row r="363" spans="2:12" x14ac:dyDescent="0.25">
      <c r="B363" s="20">
        <v>45307</v>
      </c>
      <c r="C363" t="str">
        <v xml:space="preserve">ALVARADO MARINA </v>
      </c>
      <c r="D363">
        <v>65</v>
      </c>
      <c r="E363" t="str">
        <v>VENTURI</v>
      </c>
      <c r="F363" t="str">
        <v>LES/MANGUIT ROT</v>
      </c>
      <c r="G363" t="str">
        <v xml:space="preserve">ARPONES </v>
      </c>
      <c r="H363" t="str">
        <v>IP MAGNA</v>
      </c>
      <c r="I363" t="str">
        <v>ACEPTADO</v>
      </c>
      <c r="J363" t="str">
        <v>PARANÁ</v>
      </c>
      <c r="K363" t="str">
        <v>PAMI</v>
      </c>
      <c r="L363">
        <v>0</v>
      </c>
    </row>
    <row r="364" spans="2:12" x14ac:dyDescent="0.25">
      <c r="B364" s="20">
        <v>45309</v>
      </c>
      <c r="C364" t="str">
        <v xml:space="preserve">GIMENEZ LUIS </v>
      </c>
      <c r="D364">
        <v>60</v>
      </c>
      <c r="E364">
        <v>0</v>
      </c>
      <c r="F364" t="str">
        <v>GENU VARO</v>
      </c>
      <c r="G364" t="str">
        <v>PLACA PUDDU</v>
      </c>
      <c r="H364">
        <v>0</v>
      </c>
      <c r="I364" t="str">
        <v>ACEPTADO</v>
      </c>
      <c r="J364" t="str">
        <v>PARANÁ</v>
      </c>
      <c r="K364" t="str">
        <v>S/M</v>
      </c>
      <c r="L364">
        <v>0</v>
      </c>
    </row>
    <row r="365" spans="2:12" x14ac:dyDescent="0.25">
      <c r="B365" s="20">
        <v>45309</v>
      </c>
      <c r="C365" t="str">
        <v xml:space="preserve">MIOLETTO NADIA </v>
      </c>
      <c r="D365">
        <v>33</v>
      </c>
      <c r="E365" t="str">
        <v>YACOMO</v>
      </c>
      <c r="F365" t="str">
        <v>LCA</v>
      </c>
      <c r="G365" t="str">
        <v>BOTON / TORN</v>
      </c>
      <c r="H365">
        <v>0</v>
      </c>
      <c r="I365" t="str">
        <v xml:space="preserve">INICIADO </v>
      </c>
      <c r="J365" t="str">
        <v>PARANÁ</v>
      </c>
      <c r="K365" t="str">
        <v>S/M</v>
      </c>
      <c r="L365">
        <v>0</v>
      </c>
    </row>
    <row r="366" spans="2:12" x14ac:dyDescent="0.25">
      <c r="B366" s="20">
        <v>45309</v>
      </c>
      <c r="C366" t="str">
        <v xml:space="preserve">MEDINA MARIA </v>
      </c>
      <c r="D366">
        <v>59</v>
      </c>
      <c r="E366" t="str">
        <v>JACOB</v>
      </c>
      <c r="F366" t="str">
        <v>DISCOPATIA</v>
      </c>
      <c r="G366" t="str">
        <v>BARRA/TORNI/PLIFF</v>
      </c>
      <c r="H366">
        <v>0</v>
      </c>
      <c r="I366" t="str">
        <v>ACEPTADO</v>
      </c>
      <c r="J366" t="str">
        <v xml:space="preserve">SANTA ELENA </v>
      </c>
      <c r="K366" t="str">
        <v>S/M</v>
      </c>
      <c r="L366" t="str">
        <v>11 S/M</v>
      </c>
    </row>
    <row r="367" spans="2:12" x14ac:dyDescent="0.25">
      <c r="B367" s="20">
        <v>45309</v>
      </c>
      <c r="C367" t="str">
        <v xml:space="preserve">MARTINEZ JUANA </v>
      </c>
      <c r="D367">
        <v>74</v>
      </c>
      <c r="E367" t="str">
        <v>YACOMO</v>
      </c>
      <c r="F367" t="str">
        <v>GONARTROSIS</v>
      </c>
      <c r="G367" t="str">
        <v>PTR ANATOMICA</v>
      </c>
      <c r="H367" t="str">
        <v>VILLALBA</v>
      </c>
      <c r="I367" t="str">
        <v>ACEPTADO</v>
      </c>
      <c r="J367" t="str">
        <v>PARANÁ</v>
      </c>
      <c r="K367" t="str">
        <v>PAMI</v>
      </c>
      <c r="L367" t="str">
        <v>13 PAMI</v>
      </c>
    </row>
    <row r="368" spans="2:12" x14ac:dyDescent="0.25">
      <c r="B368" s="20">
        <v>45309</v>
      </c>
      <c r="C368" t="str">
        <v xml:space="preserve">MEDINA MARIA EVA </v>
      </c>
      <c r="D368">
        <v>69</v>
      </c>
      <c r="E368" t="str">
        <v>STOPELLO</v>
      </c>
      <c r="F368" t="str">
        <v>GONARTROSIS</v>
      </c>
      <c r="G368" t="str">
        <v>PTR ANATOMICA</v>
      </c>
      <c r="H368" t="str">
        <v>IP MAGNA</v>
      </c>
      <c r="I368" t="str">
        <v>ACEPTADO</v>
      </c>
      <c r="J368" t="str">
        <v>PARANÁ</v>
      </c>
      <c r="K368" t="str">
        <v>PAMI</v>
      </c>
      <c r="L368" t="str">
        <v xml:space="preserve">25 PTES </v>
      </c>
    </row>
    <row r="369" spans="2:12" x14ac:dyDescent="0.25">
      <c r="B369" s="20">
        <v>45313</v>
      </c>
      <c r="C369" t="str">
        <v>LOPEZ SILVIA</v>
      </c>
      <c r="D369">
        <v>61</v>
      </c>
      <c r="E369" t="str">
        <v>GARCIA VITOR</v>
      </c>
      <c r="F369" t="str">
        <v>NOA</v>
      </c>
      <c r="G369" t="str">
        <v>PTC NO CEMENTADA</v>
      </c>
      <c r="H369" t="str">
        <v>IP MAGNA</v>
      </c>
      <c r="I369" t="str">
        <v>ACEPTADO</v>
      </c>
      <c r="J369" t="str">
        <v>PARANÁ</v>
      </c>
      <c r="K369" t="str">
        <v>PAMI</v>
      </c>
      <c r="L369">
        <v>0</v>
      </c>
    </row>
    <row r="370" spans="2:12" x14ac:dyDescent="0.25">
      <c r="B370" s="20">
        <v>45314</v>
      </c>
      <c r="C370" t="str">
        <v xml:space="preserve">RODRIGUEZ MARTIN </v>
      </c>
      <c r="D370">
        <v>35</v>
      </c>
      <c r="E370" t="str">
        <v>VENTURI</v>
      </c>
      <c r="F370" t="str">
        <v>OMALGIA IZQ</v>
      </c>
      <c r="G370" t="str">
        <v xml:space="preserve">ARPONES </v>
      </c>
      <c r="H370">
        <v>0</v>
      </c>
      <c r="I370" t="str">
        <v xml:space="preserve">INICIADO </v>
      </c>
      <c r="J370" t="str">
        <v xml:space="preserve">HERNANDARIAS </v>
      </c>
      <c r="K370" t="str">
        <v>S/M</v>
      </c>
      <c r="L370">
        <v>0</v>
      </c>
    </row>
    <row r="371" spans="2:12" x14ac:dyDescent="0.25">
      <c r="B371" s="20">
        <v>45314</v>
      </c>
      <c r="C371" t="str">
        <v xml:space="preserve">CORDOBA JONATHAN </v>
      </c>
      <c r="D371">
        <v>35</v>
      </c>
      <c r="E371" t="str">
        <v>CATRIEL GODOY</v>
      </c>
      <c r="F371" t="str">
        <v>LUX HOMBRO</v>
      </c>
      <c r="G371" t="str">
        <v xml:space="preserve">ENDOBOTON </v>
      </c>
      <c r="H371">
        <v>0</v>
      </c>
      <c r="I371" t="str">
        <v>ACEPTADO</v>
      </c>
      <c r="J371" t="str">
        <v>PARANÁ</v>
      </c>
      <c r="K371" t="str">
        <v>S/M</v>
      </c>
      <c r="L371">
        <v>0</v>
      </c>
    </row>
    <row r="372" spans="2:12" x14ac:dyDescent="0.25">
      <c r="B372" s="20">
        <v>45316</v>
      </c>
      <c r="C372" t="str">
        <v>SALAS BLANCA CATALINA</v>
      </c>
      <c r="D372">
        <v>90</v>
      </c>
      <c r="E372" t="str">
        <v>UCEDO</v>
      </c>
      <c r="F372" t="str">
        <v>FX TIBIA Y PERONE</v>
      </c>
      <c r="G372" t="str">
        <v>PLACA HILERA DISTAL</v>
      </c>
      <c r="H372" t="str">
        <v>VILLALBA</v>
      </c>
      <c r="I372" t="str">
        <v>ACEPTADO</v>
      </c>
      <c r="J372" t="str">
        <v>PARANÁ</v>
      </c>
      <c r="K372" t="str">
        <v>PAMI</v>
      </c>
      <c r="L372">
        <v>0</v>
      </c>
    </row>
    <row r="373" spans="2:12" x14ac:dyDescent="0.25">
      <c r="B373" s="20">
        <v>45316</v>
      </c>
      <c r="C373" t="str">
        <v>CORAJUDIA ADELMA</v>
      </c>
      <c r="D373">
        <v>81</v>
      </c>
      <c r="E373">
        <v>0</v>
      </c>
      <c r="F373" t="str">
        <v>FX CADERA IZQ</v>
      </c>
      <c r="G373" t="str">
        <v>CLAVO ENDOMEDULAR</v>
      </c>
      <c r="H373" t="str">
        <v>VILLALBA</v>
      </c>
      <c r="I373" t="str">
        <v>ACEPTADO</v>
      </c>
      <c r="J373" t="str">
        <v>PARANÁ</v>
      </c>
      <c r="K373" t="str">
        <v>PAMI</v>
      </c>
      <c r="L373">
        <v>0</v>
      </c>
    </row>
    <row r="374" spans="2:12" x14ac:dyDescent="0.25">
      <c r="B374" s="20">
        <v>45317</v>
      </c>
      <c r="C374" t="str">
        <v>RIOS AVELINA</v>
      </c>
      <c r="D374">
        <v>75</v>
      </c>
      <c r="E374" t="str">
        <v>GARCIA VITOR</v>
      </c>
      <c r="F374" t="str">
        <v xml:space="preserve">COXARTROSIS </v>
      </c>
      <c r="G374" t="str">
        <v>PTC CEMENTADA</v>
      </c>
      <c r="H374" t="str">
        <v>VILLALBA</v>
      </c>
      <c r="I374" t="str">
        <v>ACEPTADO</v>
      </c>
      <c r="J374" t="str">
        <v>PARANÁ</v>
      </c>
      <c r="K374" t="str">
        <v>PAMI</v>
      </c>
      <c r="L374">
        <v>0</v>
      </c>
    </row>
    <row r="375" spans="2:12" x14ac:dyDescent="0.25">
      <c r="B375" s="20">
        <v>45317</v>
      </c>
      <c r="C375" t="str">
        <v>ALBORNOZ SIMON</v>
      </c>
      <c r="D375">
        <v>69</v>
      </c>
      <c r="E375" t="str">
        <v>STOPELLO</v>
      </c>
      <c r="F375" t="str">
        <v>RUPTURA TENDON</v>
      </c>
      <c r="G375" t="str">
        <v>PTC RODILLA/ MALLA MARLEX</v>
      </c>
      <c r="H375" t="str">
        <v>VILLALBA</v>
      </c>
      <c r="I375" t="str">
        <v>ACEPTADO</v>
      </c>
      <c r="J375" t="str">
        <v>PARANÁ</v>
      </c>
      <c r="K375" t="str">
        <v>PAMI</v>
      </c>
      <c r="L375">
        <v>0</v>
      </c>
    </row>
    <row r="376" spans="2:12" x14ac:dyDescent="0.25">
      <c r="B376" s="20">
        <v>45322</v>
      </c>
      <c r="C376" t="str">
        <v>GABAS ETELVINA DORILA</v>
      </c>
      <c r="D376">
        <v>94</v>
      </c>
      <c r="E376" t="str">
        <v>GARCIA VITOR</v>
      </c>
      <c r="F376" t="str">
        <v>FX CADERA IZQ</v>
      </c>
      <c r="G376" t="str">
        <v>PROTESIS THOMPSON</v>
      </c>
      <c r="H376" t="str">
        <v>VILLALBA</v>
      </c>
      <c r="I376" t="str">
        <v>ACEPTADO</v>
      </c>
      <c r="J376" t="str">
        <v>PARANÁ</v>
      </c>
      <c r="K376" t="str">
        <v>PAMI</v>
      </c>
      <c r="L376">
        <v>0</v>
      </c>
    </row>
    <row r="377" spans="2:12" x14ac:dyDescent="0.25">
      <c r="B377" s="20">
        <v>45322</v>
      </c>
      <c r="C377" t="str">
        <v>PALAVECINO ANGEL RAMON</v>
      </c>
      <c r="D377">
        <v>72</v>
      </c>
      <c r="E377" t="str">
        <v>PEÑA TANIA</v>
      </c>
      <c r="F377" t="str">
        <v>FX CADERA IZQ</v>
      </c>
      <c r="G377" t="str">
        <v>PTC CEMENTADA</v>
      </c>
      <c r="H377" t="str">
        <v>VILLALBA</v>
      </c>
      <c r="I377" t="str">
        <v>ACEPTADO</v>
      </c>
      <c r="J377" t="str">
        <v>PARANÁ</v>
      </c>
      <c r="K377" t="str">
        <v>PAMI</v>
      </c>
      <c r="L377">
        <v>0</v>
      </c>
    </row>
    <row r="378" spans="2:12" x14ac:dyDescent="0.25">
      <c r="B378" s="20">
        <v>45323</v>
      </c>
      <c r="C378" t="str">
        <v>LESCANO ESTER</v>
      </c>
      <c r="D378">
        <v>78</v>
      </c>
      <c r="E378" t="str">
        <v>GARCIA VITOR</v>
      </c>
      <c r="F378" t="str">
        <v>FX CADERA IZQ</v>
      </c>
      <c r="G378" t="str">
        <v>CLAVO PLACA DHS</v>
      </c>
      <c r="H378" t="str">
        <v>VILLABA</v>
      </c>
      <c r="I378" t="str">
        <v>ACEPTADO</v>
      </c>
      <c r="J378" t="str">
        <v>PARANÁ</v>
      </c>
      <c r="K378" t="str">
        <v>PAMI</v>
      </c>
      <c r="L378">
        <v>0</v>
      </c>
    </row>
    <row r="379" spans="2:12" x14ac:dyDescent="0.25">
      <c r="B379" s="20">
        <v>45323</v>
      </c>
      <c r="C379" t="str">
        <v>MORALES ARACELI AYELEN</v>
      </c>
      <c r="D379">
        <v>24</v>
      </c>
      <c r="E379">
        <v>0</v>
      </c>
      <c r="F379" t="str">
        <v>LCA</v>
      </c>
      <c r="G379" t="str">
        <v>TORNILLO/BOTON</v>
      </c>
      <c r="H379">
        <v>0</v>
      </c>
      <c r="I379" t="str">
        <v>INICIADO</v>
      </c>
      <c r="J379" t="str">
        <v>PARANÁ</v>
      </c>
      <c r="K379" t="str">
        <v>S/M</v>
      </c>
      <c r="L379">
        <v>0</v>
      </c>
    </row>
    <row r="380" spans="2:12" x14ac:dyDescent="0.25">
      <c r="B380" s="20">
        <v>45327</v>
      </c>
      <c r="C380" t="str">
        <v xml:space="preserve">GABAS IMELDA MARIA </v>
      </c>
      <c r="D380">
        <v>85</v>
      </c>
      <c r="E380" t="str">
        <v>VENTURI</v>
      </c>
      <c r="F380" t="str">
        <v>FX MUÑECA IZQ</v>
      </c>
      <c r="G380" t="str">
        <v>PLACA EDH/PLACA 1/3</v>
      </c>
      <c r="H380" t="str">
        <v>VILLABA</v>
      </c>
      <c r="I380" t="str">
        <v>ACEPTADO</v>
      </c>
      <c r="J380" t="str">
        <v>PARANÁ</v>
      </c>
      <c r="K380" t="str">
        <v>PAMI</v>
      </c>
      <c r="L380">
        <v>0</v>
      </c>
    </row>
    <row r="381" spans="2:12" x14ac:dyDescent="0.25">
      <c r="B381" s="20">
        <v>45328</v>
      </c>
      <c r="C381" t="str">
        <v xml:space="preserve">DE LOS SANTOS MARIA </v>
      </c>
      <c r="D381">
        <v>67</v>
      </c>
      <c r="E381" t="str">
        <v>GARCIA VITOR</v>
      </c>
      <c r="F381" t="str">
        <v>GONARTROSIS</v>
      </c>
      <c r="G381" t="str">
        <v>PTC TOTAL DE RODILLA</v>
      </c>
      <c r="H381" t="str">
        <v>VILLABA</v>
      </c>
      <c r="I381" t="str">
        <v>ACEPTADO</v>
      </c>
      <c r="J381" t="str">
        <v>PARANÁ</v>
      </c>
      <c r="K381" t="str">
        <v>PAMI</v>
      </c>
      <c r="L381">
        <v>0</v>
      </c>
    </row>
    <row r="382" spans="2:12" x14ac:dyDescent="0.25">
      <c r="B382" s="20">
        <v>45328</v>
      </c>
      <c r="C382" t="str">
        <v>PORTILLO SERGIO DANIEL</v>
      </c>
      <c r="D382">
        <v>63</v>
      </c>
      <c r="E382">
        <v>0</v>
      </c>
      <c r="F382" t="str">
        <v>DEFECT/FEMUR IZQ</v>
      </c>
      <c r="G382" t="str">
        <v>TUTOR TUBULAR AO</v>
      </c>
      <c r="H382" t="str">
        <v>VILLABA</v>
      </c>
      <c r="I382" t="str">
        <v>ACEPTADO</v>
      </c>
      <c r="J382" t="str">
        <v>PARANÁ</v>
      </c>
      <c r="K382" t="str">
        <v>PAMI</v>
      </c>
      <c r="L382">
        <v>0</v>
      </c>
    </row>
    <row r="383" spans="2:12" x14ac:dyDescent="0.25">
      <c r="B383" s="20">
        <v>45328</v>
      </c>
      <c r="C383" t="str">
        <v>RETAMAR JUAN</v>
      </c>
      <c r="D383">
        <v>22</v>
      </c>
      <c r="E383">
        <v>0</v>
      </c>
      <c r="F383">
        <v>0</v>
      </c>
      <c r="G383" t="str">
        <v>VALVA REMOPLASTICA</v>
      </c>
      <c r="H383">
        <v>0</v>
      </c>
      <c r="I383" t="str">
        <v>INICIADO</v>
      </c>
      <c r="J383" t="str">
        <v>PARANÁ</v>
      </c>
      <c r="K383" t="str">
        <v>S/M</v>
      </c>
      <c r="L383">
        <v>0</v>
      </c>
    </row>
    <row r="384" spans="2:12" x14ac:dyDescent="0.25">
      <c r="B384" s="20">
        <v>45329</v>
      </c>
      <c r="C384" t="str">
        <v>CAGNANI MIRTHA</v>
      </c>
      <c r="D384">
        <v>88</v>
      </c>
      <c r="E384">
        <v>0</v>
      </c>
      <c r="F384" t="str">
        <v>FX CADERA DER</v>
      </c>
      <c r="G384" t="str">
        <v>CLAVO GAMMA</v>
      </c>
      <c r="H384" t="str">
        <v>VILLABA</v>
      </c>
      <c r="I384" t="str">
        <v>ACEPTADO</v>
      </c>
      <c r="J384" t="str">
        <v>PARANÁ</v>
      </c>
      <c r="K384" t="str">
        <v>PAMI</v>
      </c>
      <c r="L384">
        <v>0</v>
      </c>
    </row>
    <row r="385" spans="2:12" x14ac:dyDescent="0.25">
      <c r="B385" s="20">
        <v>45329</v>
      </c>
      <c r="C385" t="str">
        <v>SANCHEZ ALEJANDRA</v>
      </c>
      <c r="D385">
        <v>62</v>
      </c>
      <c r="E385" t="str">
        <v xml:space="preserve">URANGA </v>
      </c>
      <c r="F385" t="str">
        <v>COLUMNA</v>
      </c>
      <c r="G385" t="str">
        <v>TORNILLOS/BARRAS/PLIF/SUST-OSEO</v>
      </c>
      <c r="H385">
        <v>0</v>
      </c>
      <c r="I385" t="str">
        <v>INICIADO</v>
      </c>
      <c r="J385" t="str">
        <v>PARANÁ</v>
      </c>
      <c r="K385" t="str">
        <v>S/M</v>
      </c>
      <c r="L385">
        <v>0</v>
      </c>
    </row>
    <row r="386" spans="2:12" x14ac:dyDescent="0.25">
      <c r="B386" s="20">
        <v>45329</v>
      </c>
      <c r="C386" t="str">
        <v>TORRES ANA</v>
      </c>
      <c r="D386">
        <v>78</v>
      </c>
      <c r="E386">
        <v>0</v>
      </c>
      <c r="F386" t="str">
        <v>FX FEMUR</v>
      </c>
      <c r="G386" t="str">
        <v>PLACA ANAT/PILON-TIBIAL</v>
      </c>
      <c r="H386" t="str">
        <v>VILLABA</v>
      </c>
      <c r="I386" t="str">
        <v>ACEPTADO</v>
      </c>
      <c r="J386" t="str">
        <v>PARANÁ</v>
      </c>
      <c r="K386" t="str">
        <v>PAMI</v>
      </c>
      <c r="L386">
        <v>0</v>
      </c>
    </row>
    <row r="387" spans="2:12" x14ac:dyDescent="0.25">
      <c r="B387" s="20">
        <v>45330</v>
      </c>
      <c r="C387" t="str">
        <v>GRACIELA INES</v>
      </c>
      <c r="D387">
        <v>66</v>
      </c>
      <c r="E387">
        <v>0</v>
      </c>
      <c r="F387" t="str">
        <v>GONARTROSIS</v>
      </c>
      <c r="G387" t="str">
        <v>PTC TOTAL DE RODILLA</v>
      </c>
      <c r="H387" t="str">
        <v>VILLABA</v>
      </c>
      <c r="I387" t="str">
        <v>ACEPTADO</v>
      </c>
      <c r="J387" t="str">
        <v>PARANÁ</v>
      </c>
      <c r="K387" t="str">
        <v>PAMI</v>
      </c>
      <c r="L387">
        <v>0</v>
      </c>
    </row>
    <row r="388" spans="2:12" x14ac:dyDescent="0.25">
      <c r="B388" s="20">
        <v>45331</v>
      </c>
      <c r="C388" t="str">
        <v>CORREA HORTENCIA</v>
      </c>
      <c r="D388">
        <v>79</v>
      </c>
      <c r="E388">
        <v>0</v>
      </c>
      <c r="F388" t="str">
        <v>FX INTRAPELVICA</v>
      </c>
      <c r="G388" t="str">
        <v>PTC TOTAL DE RODILLA</v>
      </c>
      <c r="H388" t="str">
        <v>VILLABA</v>
      </c>
      <c r="I388" t="str">
        <v>ACEPTADO</v>
      </c>
      <c r="J388" t="str">
        <v>PARANÁ</v>
      </c>
      <c r="K388" t="str">
        <v>PAMI</v>
      </c>
      <c r="L388">
        <v>0</v>
      </c>
    </row>
    <row r="389" spans="2:12" x14ac:dyDescent="0.25">
      <c r="B389" s="20">
        <v>45337</v>
      </c>
      <c r="C389" t="str">
        <v>CORREA HORTENCIA</v>
      </c>
      <c r="D389">
        <v>79</v>
      </c>
      <c r="E389">
        <v>0</v>
      </c>
      <c r="F389" t="str">
        <v>SISTEM/FIJACION</v>
      </c>
      <c r="G389" t="str">
        <v>FRACTURA T12</v>
      </c>
      <c r="H389" t="str">
        <v>VILLABA</v>
      </c>
      <c r="I389" t="str">
        <v>ACEPTADO</v>
      </c>
      <c r="J389" t="str">
        <v>PARANÁ</v>
      </c>
      <c r="K389" t="str">
        <v>PAMI</v>
      </c>
      <c r="L389">
        <v>0</v>
      </c>
    </row>
    <row r="390" spans="2:12" x14ac:dyDescent="0.25">
      <c r="B390" s="20">
        <v>45338</v>
      </c>
      <c r="C390" t="str">
        <v>MONEY VIOLETA</v>
      </c>
      <c r="D390">
        <v>61</v>
      </c>
      <c r="E390">
        <v>0</v>
      </c>
      <c r="F390" t="str">
        <v>FX PROX HUMERO</v>
      </c>
      <c r="G390" t="str">
        <v>PLACA PHILOS</v>
      </c>
      <c r="H390" t="str">
        <v>VILLABA</v>
      </c>
      <c r="I390" t="str">
        <v>ACEPTADO</v>
      </c>
      <c r="J390" t="str">
        <v>PARANÁ</v>
      </c>
      <c r="K390" t="str">
        <v>PAMI</v>
      </c>
      <c r="L390">
        <v>0</v>
      </c>
    </row>
    <row r="391" spans="2:12" x14ac:dyDescent="0.25">
      <c r="B391" s="20">
        <v>45342</v>
      </c>
      <c r="C391" t="str">
        <v>FERREYRA MARIA DEL CARMEN</v>
      </c>
      <c r="D391">
        <v>60</v>
      </c>
      <c r="E391" t="str">
        <v>YACOMO</v>
      </c>
      <c r="F391" t="str">
        <v>GONARTROSIS</v>
      </c>
      <c r="G391" t="str">
        <v>PTC TOTAL DE RODILLA</v>
      </c>
      <c r="H391" t="str">
        <v>VILLABA</v>
      </c>
      <c r="I391" t="str">
        <v>ACEPTADO</v>
      </c>
      <c r="J391" t="str">
        <v>PARANÁ</v>
      </c>
      <c r="K391" t="str">
        <v>PAMI</v>
      </c>
      <c r="L391">
        <v>0</v>
      </c>
    </row>
    <row r="392" spans="2:12" x14ac:dyDescent="0.25">
      <c r="B392" s="20">
        <v>45342</v>
      </c>
      <c r="C392" t="str">
        <v>QUIROGA ROBERTO ALFREDO</v>
      </c>
      <c r="D392">
        <v>77</v>
      </c>
      <c r="E392" t="str">
        <v xml:space="preserve">URANGA </v>
      </c>
      <c r="F392" t="str">
        <v>FX</v>
      </c>
      <c r="G392" t="str">
        <v>PTC THOMPSON</v>
      </c>
      <c r="H392" t="str">
        <v>VILLABA</v>
      </c>
      <c r="I392" t="str">
        <v>ACEPTADO</v>
      </c>
      <c r="J392" t="str">
        <v>PARANÁ</v>
      </c>
      <c r="K392" t="str">
        <v>PAMI</v>
      </c>
      <c r="L392">
        <v>0</v>
      </c>
    </row>
    <row r="393" spans="2:12" x14ac:dyDescent="0.25">
      <c r="B393" s="20">
        <v>45342</v>
      </c>
      <c r="C393" t="str">
        <v>ANTUNEZ MIRTHA</v>
      </c>
      <c r="D393">
        <v>68</v>
      </c>
      <c r="E393">
        <v>0</v>
      </c>
      <c r="F393" t="str">
        <v>HALLUX VALVUS</v>
      </c>
      <c r="G393" t="str">
        <v>PLACA T Y L</v>
      </c>
      <c r="H393" t="str">
        <v>VILLABA</v>
      </c>
      <c r="I393" t="str">
        <v>ACEPTADO</v>
      </c>
      <c r="J393" t="str">
        <v>PARANÁ</v>
      </c>
      <c r="K393" t="str">
        <v>PAMI</v>
      </c>
      <c r="L393">
        <v>0</v>
      </c>
    </row>
    <row r="394" spans="2:12" x14ac:dyDescent="0.25">
      <c r="B394" s="20">
        <v>45342</v>
      </c>
      <c r="C394" t="str">
        <v>BOLZAN NORMA</v>
      </c>
      <c r="D394">
        <v>91</v>
      </c>
      <c r="E394">
        <v>0</v>
      </c>
      <c r="F394" t="str">
        <v>FX CADERA IZQ</v>
      </c>
      <c r="G394" t="str">
        <v>CLAVO GAMMA</v>
      </c>
      <c r="H394" t="str">
        <v>VILLABA</v>
      </c>
      <c r="I394" t="str">
        <v>ACEPTADO</v>
      </c>
      <c r="J394" t="str">
        <v>PARANÁ</v>
      </c>
      <c r="K394" t="str">
        <v>PAMI</v>
      </c>
      <c r="L394">
        <v>0</v>
      </c>
    </row>
    <row r="395" spans="2:12" x14ac:dyDescent="0.25">
      <c r="B395" s="20">
        <v>45343</v>
      </c>
      <c r="C395" t="str">
        <v xml:space="preserve">SCHMIDT HERNAN </v>
      </c>
      <c r="D395">
        <v>15</v>
      </c>
      <c r="E395" t="str">
        <v>GARCIA VITOR</v>
      </c>
      <c r="F395" t="str">
        <v>OSTEORTRITIS</v>
      </c>
      <c r="G395" t="str">
        <v>PTC TOTAL DE CADERA</v>
      </c>
      <c r="H395">
        <v>0</v>
      </c>
      <c r="I395" t="str">
        <v>INICIADO</v>
      </c>
      <c r="J395" t="str">
        <v>PARANÁ</v>
      </c>
      <c r="K395" t="str">
        <v>S/M</v>
      </c>
      <c r="L395">
        <v>0</v>
      </c>
    </row>
    <row r="396" spans="2:12" x14ac:dyDescent="0.25">
      <c r="B396" s="20">
        <v>45343</v>
      </c>
      <c r="C396" t="str">
        <v>STROHL NELIDA</v>
      </c>
      <c r="D396">
        <v>75</v>
      </c>
      <c r="E396">
        <v>0</v>
      </c>
      <c r="F396" t="str">
        <v>COXOARTROSIS</v>
      </c>
      <c r="G396" t="str">
        <v xml:space="preserve">PTC DE CADERA </v>
      </c>
      <c r="H396" t="str">
        <v>VILLABA</v>
      </c>
      <c r="I396" t="str">
        <v>ACEPTADO</v>
      </c>
      <c r="J396" t="str">
        <v>PARANÁ</v>
      </c>
      <c r="K396" t="str">
        <v>PAMI</v>
      </c>
      <c r="L396">
        <v>0</v>
      </c>
    </row>
    <row r="397" spans="2:12" x14ac:dyDescent="0.25">
      <c r="B397" s="20">
        <v>45344</v>
      </c>
      <c r="C397" t="str">
        <v>VARGAS JUAN</v>
      </c>
      <c r="D397">
        <v>68</v>
      </c>
      <c r="E397">
        <v>0</v>
      </c>
      <c r="F397" t="str">
        <v>FX TOBILLO</v>
      </c>
      <c r="G397" t="str">
        <v>PLACA 1/3 TUBO</v>
      </c>
      <c r="H397" t="str">
        <v>VILLABA</v>
      </c>
      <c r="I397" t="str">
        <v>ACEPTADO</v>
      </c>
      <c r="J397" t="str">
        <v>PARANÁ</v>
      </c>
      <c r="K397" t="str">
        <v>PAMI</v>
      </c>
      <c r="L397">
        <v>0</v>
      </c>
    </row>
    <row r="398" spans="2:12" x14ac:dyDescent="0.25">
      <c r="B398" s="20">
        <v>45344</v>
      </c>
      <c r="C398" t="str">
        <v>AYALA STELLA</v>
      </c>
      <c r="D398">
        <v>54</v>
      </c>
      <c r="E398">
        <v>0</v>
      </c>
      <c r="F398" t="str">
        <v>FX CALCANEO</v>
      </c>
      <c r="G398" t="str">
        <v>PLACA LAMBDA/TOR-CAN</v>
      </c>
      <c r="H398" t="str">
        <v>VILLABA</v>
      </c>
      <c r="I398" t="str">
        <v>ACEPTADO</v>
      </c>
      <c r="J398" t="str">
        <v>PARANÁ</v>
      </c>
      <c r="K398" t="str">
        <v>PAMI</v>
      </c>
      <c r="L398">
        <v>0</v>
      </c>
    </row>
    <row r="399" spans="2:12" x14ac:dyDescent="0.25">
      <c r="B399" s="20">
        <v>45348</v>
      </c>
      <c r="C399" t="str">
        <v>GIORGIO ESTER EMILCE</v>
      </c>
      <c r="D399">
        <v>57</v>
      </c>
      <c r="E399">
        <v>0</v>
      </c>
      <c r="F399" t="str">
        <v>GONARTROSIS</v>
      </c>
      <c r="G399" t="str">
        <v>PTC TOTAL DE RODILLA</v>
      </c>
      <c r="H399" t="str">
        <v>VILLABA</v>
      </c>
      <c r="I399" t="str">
        <v>ACEPTADO</v>
      </c>
      <c r="J399" t="str">
        <v>PARANÁ</v>
      </c>
      <c r="K399" t="str">
        <v>PAMI</v>
      </c>
      <c r="L399">
        <v>0</v>
      </c>
    </row>
    <row r="400" spans="2:12" x14ac:dyDescent="0.25">
      <c r="B400" s="20">
        <v>45348</v>
      </c>
      <c r="C400" t="str">
        <v xml:space="preserve">AGUSTIN GIACCIO </v>
      </c>
      <c r="D400">
        <v>0</v>
      </c>
      <c r="E400">
        <v>0</v>
      </c>
      <c r="F400" t="str">
        <v>LCA</v>
      </c>
      <c r="G400" t="str">
        <v>TOR/BOTON/PUNTA/INMOL</v>
      </c>
      <c r="H400">
        <v>0</v>
      </c>
      <c r="I400" t="str">
        <v>INICIADO</v>
      </c>
      <c r="J400" t="str">
        <v>PARANÁ</v>
      </c>
      <c r="K400" t="str">
        <v>S/M</v>
      </c>
      <c r="L400">
        <v>0</v>
      </c>
    </row>
    <row r="401" spans="2:12" x14ac:dyDescent="0.25">
      <c r="B401" s="20">
        <v>45348</v>
      </c>
      <c r="C401" t="str">
        <v>ACOSTA LEANDRO</v>
      </c>
      <c r="D401">
        <v>0</v>
      </c>
      <c r="E401" t="str">
        <v>GARCIA VITOR</v>
      </c>
      <c r="F401" t="str">
        <v>LCA</v>
      </c>
      <c r="G401" t="str">
        <v>TOR/BOTON/PUNTA/INMOL</v>
      </c>
      <c r="H401">
        <v>0</v>
      </c>
      <c r="I401" t="str">
        <v>INICIADO</v>
      </c>
      <c r="J401" t="str">
        <v>PARANÁ</v>
      </c>
      <c r="K401" t="str">
        <v>S/M</v>
      </c>
      <c r="L401">
        <v>0</v>
      </c>
    </row>
    <row r="402" spans="2:12" x14ac:dyDescent="0.25">
      <c r="B402" s="20">
        <v>45348</v>
      </c>
      <c r="C402" t="str">
        <v>RIVERO LIDIA ELENA</v>
      </c>
      <c r="D402">
        <v>71</v>
      </c>
      <c r="E402">
        <v>0</v>
      </c>
      <c r="F402" t="str">
        <v>GONARTROSIS</v>
      </c>
      <c r="G402" t="str">
        <v xml:space="preserve">REEMPLAZO DE ROD </v>
      </c>
      <c r="H402" t="str">
        <v>VILLABA</v>
      </c>
      <c r="I402" t="str">
        <v>ACEPTADO</v>
      </c>
      <c r="J402" t="str">
        <v>PARANÁ</v>
      </c>
      <c r="K402" t="str">
        <v>PAMI</v>
      </c>
      <c r="L402">
        <v>0</v>
      </c>
    </row>
    <row r="403" spans="2:12" x14ac:dyDescent="0.25">
      <c r="B403" s="20">
        <v>45348</v>
      </c>
      <c r="C403" t="str">
        <v>CAMPOS MIRTA</v>
      </c>
      <c r="D403">
        <v>72</v>
      </c>
      <c r="E403" t="str">
        <v>GARCIA VITOR</v>
      </c>
      <c r="F403" t="str">
        <v>PTC TOTAL DE ROD</v>
      </c>
      <c r="G403" t="str">
        <v>GONARTROSIS</v>
      </c>
      <c r="H403" t="str">
        <v>VILLABA</v>
      </c>
      <c r="I403" t="str">
        <v>ACEPTADO</v>
      </c>
      <c r="J403" t="str">
        <v>PARANÁ</v>
      </c>
      <c r="K403" t="str">
        <v>PAMI</v>
      </c>
      <c r="L403">
        <v>0</v>
      </c>
    </row>
    <row r="404" spans="2:12" x14ac:dyDescent="0.25">
      <c r="B404" s="20">
        <v>45348</v>
      </c>
      <c r="C404" t="str">
        <v>HILMAN ELENA</v>
      </c>
      <c r="D404">
        <v>67</v>
      </c>
      <c r="E404">
        <v>0</v>
      </c>
      <c r="F404" t="str">
        <v>PTC TOTAL DE ROD</v>
      </c>
      <c r="G404" t="str">
        <v>GONARTROSIS</v>
      </c>
      <c r="H404" t="str">
        <v>VILLABA</v>
      </c>
      <c r="I404" t="str">
        <v>ACEPTADO</v>
      </c>
      <c r="J404" t="str">
        <v>PARANÁ</v>
      </c>
      <c r="K404" t="str">
        <v>PAMI</v>
      </c>
      <c r="L404">
        <v>0</v>
      </c>
    </row>
    <row r="405" spans="2:12" x14ac:dyDescent="0.25">
      <c r="B405" s="20">
        <v>45348</v>
      </c>
      <c r="C405" t="str">
        <v>CARRERAS LILIANA</v>
      </c>
      <c r="D405">
        <v>72</v>
      </c>
      <c r="E405">
        <v>0</v>
      </c>
      <c r="F405" t="str">
        <v>PTC TOTAL DE CAD</v>
      </c>
      <c r="G405" t="str">
        <v>COXOARTROSIS</v>
      </c>
      <c r="H405" t="str">
        <v>VILLABA</v>
      </c>
      <c r="I405" t="str">
        <v>ACEPTADO</v>
      </c>
      <c r="J405" t="str">
        <v>PARANÁ</v>
      </c>
      <c r="K405" t="str">
        <v>PAMI</v>
      </c>
      <c r="L405">
        <v>0</v>
      </c>
    </row>
    <row r="406" spans="2:12" x14ac:dyDescent="0.25">
      <c r="B406" s="20">
        <v>45349</v>
      </c>
      <c r="C406" t="str">
        <v>YURI UZIEL</v>
      </c>
      <c r="D406">
        <v>54</v>
      </c>
      <c r="E406" t="str">
        <v>RESIDENTES</v>
      </c>
      <c r="F406" t="str">
        <v>TOR/PLACA/CLAV</v>
      </c>
      <c r="G406" t="str">
        <v>FX FEMUR Y PLATILLO</v>
      </c>
      <c r="H406" t="str">
        <v>VILLABA</v>
      </c>
      <c r="I406" t="str">
        <v>ACEPTADO</v>
      </c>
      <c r="J406" t="str">
        <v>PARANÁ</v>
      </c>
      <c r="K406" t="str">
        <v>PAMI</v>
      </c>
      <c r="L406">
        <v>0</v>
      </c>
    </row>
    <row r="407" spans="2:12" x14ac:dyDescent="0.25">
      <c r="B407" s="20">
        <v>45351</v>
      </c>
      <c r="C407" t="str">
        <v>GRIFIF JUAN ROMAN</v>
      </c>
      <c r="D407">
        <v>20</v>
      </c>
      <c r="E407" t="str">
        <v>GARCIA VITOR</v>
      </c>
      <c r="F407" t="str">
        <v xml:space="preserve">BOTON </v>
      </c>
      <c r="G407" t="str">
        <v>FX TIBIA</v>
      </c>
      <c r="H407">
        <v>0</v>
      </c>
      <c r="I407" t="str">
        <v>INICIADO</v>
      </c>
      <c r="J407" t="str">
        <v>PARANÁ</v>
      </c>
      <c r="K407" t="str">
        <v>S/M</v>
      </c>
      <c r="L407">
        <v>0</v>
      </c>
    </row>
    <row r="408" spans="2:12" x14ac:dyDescent="0.25">
      <c r="B408" s="20">
        <v>45352</v>
      </c>
      <c r="C408" t="str">
        <v xml:space="preserve">LENCINA MARIA </v>
      </c>
      <c r="D408">
        <v>69</v>
      </c>
      <c r="E408" t="str">
        <v>CASERES</v>
      </c>
      <c r="F408" t="str">
        <v>FX  CUBITO</v>
      </c>
      <c r="G408" t="str">
        <v>PLACA TERCI TUBO</v>
      </c>
      <c r="H408" t="str">
        <v xml:space="preserve">IP MAGNA </v>
      </c>
      <c r="I408" t="str">
        <v>ACEPTADO</v>
      </c>
      <c r="J408" t="str">
        <v>PARANÁ</v>
      </c>
      <c r="K408" t="str">
        <v>PAMI</v>
      </c>
      <c r="L408">
        <v>0</v>
      </c>
    </row>
    <row r="409" spans="2:12" x14ac:dyDescent="0.25">
      <c r="B409" s="20">
        <v>45355</v>
      </c>
      <c r="C409" t="str">
        <v xml:space="preserve">ECHAVIYU FELIPA </v>
      </c>
      <c r="D409">
        <v>89</v>
      </c>
      <c r="E409" t="str">
        <v>CASERES</v>
      </c>
      <c r="F409" t="str">
        <v>FX CADERA</v>
      </c>
      <c r="G409" t="str">
        <v>CLAVO GAMMA</v>
      </c>
      <c r="H409" t="str">
        <v>VILLALBA</v>
      </c>
      <c r="I409" t="str">
        <v>ACEPTADO</v>
      </c>
      <c r="J409" t="str">
        <v>PARANÁ</v>
      </c>
      <c r="K409" t="str">
        <v>PAMI</v>
      </c>
      <c r="L409">
        <v>0</v>
      </c>
    </row>
    <row r="410" spans="2:12" x14ac:dyDescent="0.25">
      <c r="B410" s="20">
        <v>45355</v>
      </c>
      <c r="C410" t="str">
        <v>FERNANDEZ LUISA</v>
      </c>
      <c r="D410">
        <v>92</v>
      </c>
      <c r="E410" t="str">
        <v>CASERES</v>
      </c>
      <c r="F410" t="str">
        <v>FX CADERA</v>
      </c>
      <c r="G410" t="str">
        <v>PTC CEMENT/COTILO D</v>
      </c>
      <c r="H410" t="str">
        <v>VILLALBA</v>
      </c>
      <c r="I410" t="str">
        <v>ACEPTADO</v>
      </c>
      <c r="J410" t="str">
        <v>PARANÁ</v>
      </c>
      <c r="K410" t="str">
        <v>PAMI</v>
      </c>
      <c r="L410">
        <v>0</v>
      </c>
    </row>
    <row r="411" spans="2:12" x14ac:dyDescent="0.25">
      <c r="B411" s="20">
        <v>45355</v>
      </c>
      <c r="C411" t="str">
        <v xml:space="preserve">ACEVEDO OLGA </v>
      </c>
      <c r="D411">
        <v>84</v>
      </c>
      <c r="E411" t="str">
        <v>CASERES</v>
      </c>
      <c r="F411" t="str">
        <v>FX CADERA</v>
      </c>
      <c r="G411" t="str">
        <v>PTC CEMENT/COTILO D</v>
      </c>
      <c r="H411" t="str">
        <v>VILLALBA</v>
      </c>
      <c r="I411" t="str">
        <v>ACEPTADO</v>
      </c>
      <c r="J411" t="str">
        <v>PARANÁ</v>
      </c>
      <c r="K411" t="str">
        <v>PAMI</v>
      </c>
      <c r="L411">
        <v>0</v>
      </c>
    </row>
    <row r="412" spans="2:12" x14ac:dyDescent="0.25">
      <c r="B412" s="20">
        <v>45357</v>
      </c>
      <c r="C412" t="str">
        <v xml:space="preserve">SILVA JORGELINA </v>
      </c>
      <c r="D412">
        <v>63</v>
      </c>
      <c r="E412" t="str">
        <v>GARCIA VITOR</v>
      </c>
      <c r="F412" t="str">
        <v>AFLOJ PROTESICO</v>
      </c>
      <c r="G412" t="str">
        <v xml:space="preserve">PTC DE REVISION </v>
      </c>
      <c r="H412" t="str">
        <v xml:space="preserve">IP MAGNA </v>
      </c>
      <c r="I412" t="str">
        <v>ACEPTADO</v>
      </c>
      <c r="J412" t="str">
        <v>PARANÁ</v>
      </c>
      <c r="K412" t="str">
        <v>PAMI</v>
      </c>
      <c r="L412">
        <v>0</v>
      </c>
    </row>
    <row r="413" spans="2:12" x14ac:dyDescent="0.25">
      <c r="B413" s="20">
        <v>45357</v>
      </c>
      <c r="C413" t="str">
        <v xml:space="preserve">GODOY BLANCA </v>
      </c>
      <c r="D413">
        <v>74</v>
      </c>
      <c r="E413" t="str">
        <v xml:space="preserve">URANGA </v>
      </c>
      <c r="F413" t="str">
        <v>ESCOLIOSIS</v>
      </c>
      <c r="G413" t="str">
        <v>TORN/BARRAS/DRIL</v>
      </c>
      <c r="H413" t="str">
        <v>VILLALBA</v>
      </c>
      <c r="I413" t="str">
        <v>ACEPTADO</v>
      </c>
      <c r="J413" t="str">
        <v>PARANÁ</v>
      </c>
      <c r="K413" t="str">
        <v>PAMI</v>
      </c>
      <c r="L413">
        <v>0</v>
      </c>
    </row>
    <row r="414" spans="2:12" x14ac:dyDescent="0.25">
      <c r="B414" s="20">
        <v>45357</v>
      </c>
      <c r="C414" t="str">
        <v xml:space="preserve">HAEDO NELIDA </v>
      </c>
      <c r="D414">
        <v>70</v>
      </c>
      <c r="E414" t="str">
        <v>CASERES</v>
      </c>
      <c r="F414" t="str">
        <v>C DERECHA</v>
      </c>
      <c r="G414" t="str">
        <v>ESPACIADOR</v>
      </c>
      <c r="H414" t="str">
        <v>VILLALBA</v>
      </c>
      <c r="I414" t="str">
        <v>ACEPTADO</v>
      </c>
      <c r="J414" t="str">
        <v>PARANÁ</v>
      </c>
      <c r="K414" t="str">
        <v>PAMI</v>
      </c>
      <c r="L414">
        <v>0</v>
      </c>
    </row>
    <row r="415" spans="2:12" x14ac:dyDescent="0.25">
      <c r="B415" s="20">
        <v>45357</v>
      </c>
      <c r="C415" t="str">
        <v xml:space="preserve">PALACIOS ELIDA </v>
      </c>
      <c r="D415">
        <v>77</v>
      </c>
      <c r="E415" t="str">
        <v>CASERES</v>
      </c>
      <c r="F415" t="str">
        <v>GONARTROSIS</v>
      </c>
      <c r="G415" t="str">
        <v>PTR PRIMARIA</v>
      </c>
      <c r="H415" t="str">
        <v>VILLALBA</v>
      </c>
      <c r="I415" t="str">
        <v>ACEPTADO</v>
      </c>
      <c r="J415" t="str">
        <v>PARANÁ</v>
      </c>
      <c r="K415" t="str">
        <v>PAMI</v>
      </c>
      <c r="L415">
        <v>0</v>
      </c>
    </row>
    <row r="416" spans="2:12" x14ac:dyDescent="0.25">
      <c r="B416" s="20">
        <v>45358</v>
      </c>
      <c r="C416" t="str">
        <v xml:space="preserve">SANCHEZ CARMEN </v>
      </c>
      <c r="D416">
        <v>75</v>
      </c>
      <c r="E416" t="str">
        <v>STOPELLO</v>
      </c>
      <c r="F416" t="str">
        <v>VARO COMPLEJO</v>
      </c>
      <c r="G416" t="str">
        <v xml:space="preserve">PTR DE REVISION </v>
      </c>
      <c r="H416" t="str">
        <v>VILLALBA</v>
      </c>
      <c r="I416" t="str">
        <v>ACEPTADO</v>
      </c>
      <c r="J416" t="str">
        <v>PARANÁ</v>
      </c>
      <c r="K416" t="str">
        <v>PAMI</v>
      </c>
      <c r="L416">
        <v>0</v>
      </c>
    </row>
    <row r="417" spans="2:12" x14ac:dyDescent="0.25">
      <c r="B417" s="20">
        <v>45358</v>
      </c>
      <c r="C417" t="str">
        <v>ARELLANO ADRIAN</v>
      </c>
      <c r="D417">
        <v>41</v>
      </c>
      <c r="E417" t="str">
        <v>GARCIA VITOR</v>
      </c>
      <c r="F417" t="str">
        <v>LCA</v>
      </c>
      <c r="G417" t="str">
        <v>TORN/ENDOBOTON</v>
      </c>
      <c r="H417">
        <v>0</v>
      </c>
      <c r="I417" t="str">
        <v>INICIADO</v>
      </c>
      <c r="J417" t="str">
        <v>VILLAGUAY</v>
      </c>
      <c r="K417" t="str">
        <v>S/M</v>
      </c>
      <c r="L417">
        <v>0</v>
      </c>
    </row>
    <row r="418" spans="2:12" x14ac:dyDescent="0.25">
      <c r="B418" s="20">
        <v>45359</v>
      </c>
      <c r="C418" t="str">
        <v>CABRERA GRISELDA</v>
      </c>
      <c r="D418">
        <v>64</v>
      </c>
      <c r="E418" t="str">
        <v>CASERES</v>
      </c>
      <c r="F418" t="str">
        <v>FX TOBILLO</v>
      </c>
      <c r="G418" t="str">
        <v>PLACA TERCI TUBO</v>
      </c>
      <c r="H418" t="str">
        <v>VILLALBA</v>
      </c>
      <c r="I418" t="str">
        <v>ACEPTADO</v>
      </c>
      <c r="J418" t="str">
        <v>PARANÁ</v>
      </c>
      <c r="K418" t="str">
        <v>PAMI</v>
      </c>
      <c r="L418">
        <v>0</v>
      </c>
    </row>
    <row r="419" spans="2:12" x14ac:dyDescent="0.25">
      <c r="B419" s="20">
        <v>45359</v>
      </c>
      <c r="C419" t="str">
        <v>RAMIREZ PATRICIA</v>
      </c>
      <c r="D419">
        <v>55</v>
      </c>
      <c r="E419" t="str">
        <v>GARCIA VITOR</v>
      </c>
      <c r="F419" t="str">
        <v>FX CADERA</v>
      </c>
      <c r="G419" t="str">
        <v>PTC NO CEMENT</v>
      </c>
      <c r="H419" t="str">
        <v xml:space="preserve">IP MAGNA </v>
      </c>
      <c r="I419" t="str">
        <v>ACEPTADO</v>
      </c>
      <c r="J419" t="str">
        <v>PARANÁ</v>
      </c>
      <c r="K419" t="str">
        <v>PAMI</v>
      </c>
      <c r="L419">
        <v>0</v>
      </c>
    </row>
    <row r="420" spans="2:12" x14ac:dyDescent="0.25">
      <c r="B420" s="20">
        <v>45362</v>
      </c>
      <c r="C420" t="str">
        <v xml:space="preserve">IBARRA MARIA LUISA </v>
      </c>
      <c r="D420">
        <v>75</v>
      </c>
      <c r="E420" t="str">
        <v>UCEDO</v>
      </c>
      <c r="F420" t="str">
        <v>HALLUXVALGO</v>
      </c>
      <c r="G420" t="str">
        <v>TORN TIPO BAROUK</v>
      </c>
      <c r="H420" t="str">
        <v>VILLALBA</v>
      </c>
      <c r="I420" t="str">
        <v>ACEPTADO</v>
      </c>
      <c r="J420" t="str">
        <v>PARANÁ</v>
      </c>
      <c r="K420" t="str">
        <v>PAMI</v>
      </c>
      <c r="L420">
        <v>0</v>
      </c>
    </row>
    <row r="421" spans="2:12" x14ac:dyDescent="0.25">
      <c r="B421" s="20">
        <v>45362</v>
      </c>
      <c r="C421" t="str">
        <v xml:space="preserve">LOPEZ SILVIA </v>
      </c>
      <c r="D421">
        <v>62</v>
      </c>
      <c r="E421" t="str">
        <v>GARCIA VITOR</v>
      </c>
      <c r="F421" t="str">
        <v>NECROSIS  CAD</v>
      </c>
      <c r="G421" t="str">
        <v>PTC NO CEMENT</v>
      </c>
      <c r="H421" t="str">
        <v xml:space="preserve">IP MAGNA </v>
      </c>
      <c r="I421" t="str">
        <v>ACEPTADO</v>
      </c>
      <c r="J421" t="str">
        <v>PARANÁ</v>
      </c>
      <c r="K421" t="str">
        <v>PAMI</v>
      </c>
      <c r="L421">
        <v>0</v>
      </c>
    </row>
    <row r="422" spans="2:12" x14ac:dyDescent="0.25">
      <c r="B422" s="20">
        <v>45362</v>
      </c>
      <c r="C422" t="str">
        <v>GERSTNER VICTORIA</v>
      </c>
      <c r="D422">
        <v>66</v>
      </c>
      <c r="E422" t="str">
        <v>STOPELLO</v>
      </c>
      <c r="F422" t="str">
        <v xml:space="preserve">COXARTROSIS </v>
      </c>
      <c r="G422" t="str">
        <v>PTC NO CEMENT</v>
      </c>
      <c r="H422" t="str">
        <v xml:space="preserve">IP MAGNA </v>
      </c>
      <c r="I422" t="str">
        <v>ACEPTADO</v>
      </c>
      <c r="J422" t="str">
        <v>PARANÁ</v>
      </c>
      <c r="K422" t="str">
        <v>PAMI</v>
      </c>
      <c r="L422">
        <v>0</v>
      </c>
    </row>
    <row r="423" spans="2:12" x14ac:dyDescent="0.25">
      <c r="B423" s="20">
        <v>45363</v>
      </c>
      <c r="C423" t="str">
        <v>ORELLANO MANUEL</v>
      </c>
      <c r="D423">
        <v>85</v>
      </c>
      <c r="E423" t="str">
        <v>CASERES</v>
      </c>
      <c r="F423" t="str">
        <v>FX PELVIS</v>
      </c>
      <c r="G423" t="str">
        <v>PLACA RECOSNT</v>
      </c>
      <c r="H423" t="str">
        <v>VILLALBA</v>
      </c>
      <c r="I423" t="str">
        <v>ACEPTADO</v>
      </c>
      <c r="J423" t="str">
        <v>PARANÁ</v>
      </c>
      <c r="K423" t="str">
        <v>PAMI</v>
      </c>
      <c r="L423">
        <v>0</v>
      </c>
    </row>
    <row r="424" spans="2:12" x14ac:dyDescent="0.25">
      <c r="B424" s="20">
        <v>45364</v>
      </c>
      <c r="C424" t="str">
        <v>GODOY RITA</v>
      </c>
      <c r="D424">
        <v>55</v>
      </c>
      <c r="E424" t="str">
        <v>CASERES</v>
      </c>
      <c r="F424" t="str">
        <v>FX CADERA</v>
      </c>
      <c r="G424" t="str">
        <v>PTC NO CEMENT</v>
      </c>
      <c r="H424" t="str">
        <v xml:space="preserve">URGENTE </v>
      </c>
      <c r="I424" t="str">
        <v>INICIADO</v>
      </c>
      <c r="J424" t="str">
        <v>PARANÁ</v>
      </c>
      <c r="K424" t="str">
        <v>S/M</v>
      </c>
      <c r="L424">
        <v>0</v>
      </c>
    </row>
    <row r="425" spans="2:12" x14ac:dyDescent="0.25">
      <c r="B425" s="20">
        <v>45376</v>
      </c>
      <c r="C425" t="str">
        <v>MONZON NERCEDES ELENA</v>
      </c>
      <c r="D425">
        <v>75</v>
      </c>
      <c r="E425">
        <v>0</v>
      </c>
      <c r="F425" t="str">
        <v>GONARTROSIS</v>
      </c>
      <c r="G425" t="str">
        <v>PTC DE ROD CON VAST</v>
      </c>
      <c r="H425" t="str">
        <v>VILLALBA</v>
      </c>
      <c r="I425" t="str">
        <v>ACEPTADO</v>
      </c>
      <c r="J425" t="str">
        <v>PARANÁ</v>
      </c>
      <c r="K425" t="str">
        <v>PAMI</v>
      </c>
      <c r="L425">
        <v>0</v>
      </c>
    </row>
    <row r="426" spans="2:12" x14ac:dyDescent="0.25">
      <c r="B426" s="20">
        <v>45376</v>
      </c>
      <c r="C426" t="str">
        <v>AVILES JUAN</v>
      </c>
      <c r="D426">
        <v>72</v>
      </c>
      <c r="E426" t="str">
        <v>CESAR MEYNET</v>
      </c>
      <c r="F426" t="str">
        <v>GENUVARO ART</v>
      </c>
      <c r="G426" t="str">
        <v>PTC ROD DERECHA</v>
      </c>
      <c r="H426" t="str">
        <v>VILLALBA</v>
      </c>
      <c r="I426" t="str">
        <v>ACEPTADO</v>
      </c>
      <c r="J426" t="str">
        <v>PARANÁ</v>
      </c>
      <c r="K426" t="str">
        <v>PAMI</v>
      </c>
      <c r="L426">
        <v>0</v>
      </c>
    </row>
    <row r="427" spans="2:12" x14ac:dyDescent="0.25">
      <c r="B427" s="20">
        <v>45376</v>
      </c>
      <c r="C427" t="str">
        <v>GAREIS YOLANDA</v>
      </c>
      <c r="D427">
        <v>69</v>
      </c>
      <c r="E427">
        <v>0</v>
      </c>
      <c r="F427" t="str">
        <v>GENUVARO ART</v>
      </c>
      <c r="G427" t="str">
        <v>REEMPLAZO T DE RODILLA</v>
      </c>
      <c r="H427">
        <v>0</v>
      </c>
      <c r="I427" t="str">
        <v>ACEPTADO</v>
      </c>
      <c r="J427" t="str">
        <v>PARANÁ</v>
      </c>
      <c r="K427" t="str">
        <v>PAMI</v>
      </c>
      <c r="L427">
        <v>0</v>
      </c>
    </row>
    <row r="428" spans="2:12" x14ac:dyDescent="0.25">
      <c r="B428" s="20">
        <v>45376</v>
      </c>
      <c r="C428" t="str">
        <v>PERALTA DIANA MARIA</v>
      </c>
      <c r="D428">
        <v>64</v>
      </c>
      <c r="E428">
        <v>0</v>
      </c>
      <c r="F428" t="str">
        <v>ARTROSIS</v>
      </c>
      <c r="G428" t="str">
        <v xml:space="preserve">PTC DE ROD  </v>
      </c>
      <c r="H428" t="str">
        <v>VILLALBA</v>
      </c>
      <c r="I428" t="str">
        <v>ACEPTADO</v>
      </c>
      <c r="J428" t="str">
        <v>PARANÁ</v>
      </c>
      <c r="K428" t="str">
        <v>PAMI</v>
      </c>
      <c r="L428">
        <v>0</v>
      </c>
    </row>
    <row r="429" spans="2:12" x14ac:dyDescent="0.25">
      <c r="B429" s="20">
        <v>45376</v>
      </c>
      <c r="C429" t="str">
        <v>WOLF NIDIA</v>
      </c>
      <c r="D429">
        <v>85</v>
      </c>
      <c r="E429" t="str">
        <v>CASERES</v>
      </c>
      <c r="F429" t="str">
        <v>FX CADERA IZQ</v>
      </c>
      <c r="G429" t="str">
        <v>PTC COTILO DOBLE MOV</v>
      </c>
      <c r="H429">
        <v>0</v>
      </c>
      <c r="I429" t="str">
        <v>ACEPTADO</v>
      </c>
      <c r="J429" t="str">
        <v>PARANÁ</v>
      </c>
      <c r="K429" t="str">
        <v>PAMI</v>
      </c>
      <c r="L429">
        <v>0</v>
      </c>
    </row>
    <row r="430" spans="2:12" x14ac:dyDescent="0.25">
      <c r="B430" s="20">
        <v>45376</v>
      </c>
      <c r="C430" t="str">
        <v>PEREYRA ALICIA LILIANA</v>
      </c>
      <c r="D430">
        <v>66</v>
      </c>
      <c r="E430" t="str">
        <v>CASERES</v>
      </c>
      <c r="F430" t="str">
        <v xml:space="preserve">FX DE MUÑECA </v>
      </c>
      <c r="G430" t="str">
        <v>PLACA EDR</v>
      </c>
      <c r="H430" t="str">
        <v xml:space="preserve">VILLALBA </v>
      </c>
      <c r="I430" t="str">
        <v>ACEPTADO</v>
      </c>
      <c r="J430" t="str">
        <v>PARANÁ</v>
      </c>
      <c r="K430" t="str">
        <v>PAMI</v>
      </c>
      <c r="L430">
        <v>0</v>
      </c>
    </row>
    <row r="431" spans="2:12" x14ac:dyDescent="0.25">
      <c r="B431" s="20">
        <v>45376</v>
      </c>
      <c r="C431" t="str">
        <v>BRITES DOLORES</v>
      </c>
      <c r="D431">
        <v>69</v>
      </c>
      <c r="E431" t="str">
        <v>CASERES</v>
      </c>
      <c r="F431" t="str">
        <v>FX DE CADERA</v>
      </c>
      <c r="G431" t="str">
        <v xml:space="preserve">CLAVO DHS </v>
      </c>
      <c r="H431">
        <v>0</v>
      </c>
      <c r="I431" t="str">
        <v>ACEPTADO</v>
      </c>
      <c r="J431" t="str">
        <v>PARANÁ</v>
      </c>
      <c r="K431" t="str">
        <v>PAMI</v>
      </c>
      <c r="L431">
        <v>0</v>
      </c>
    </row>
    <row r="432" spans="2:12" x14ac:dyDescent="0.25">
      <c r="B432" s="20">
        <v>45376</v>
      </c>
      <c r="C432" t="str">
        <v>TOSAS NORMA</v>
      </c>
      <c r="D432">
        <v>72</v>
      </c>
      <c r="E432" t="str">
        <v>CATRIEL GODOY</v>
      </c>
      <c r="F432" t="str">
        <v xml:space="preserve">FX HUMERO </v>
      </c>
      <c r="G432" t="str">
        <v>PLACA PHILO</v>
      </c>
      <c r="H432" t="str">
        <v>VILLALBA</v>
      </c>
      <c r="I432" t="str">
        <v>ACEPTADO</v>
      </c>
      <c r="J432" t="str">
        <v>PARANÁ</v>
      </c>
      <c r="K432" t="str">
        <v>PAMI</v>
      </c>
      <c r="L432">
        <v>0</v>
      </c>
    </row>
    <row r="433" spans="2:12" x14ac:dyDescent="0.25">
      <c r="B433" s="20">
        <v>45377</v>
      </c>
      <c r="C433" t="str">
        <v>GAREIS YOLANDA</v>
      </c>
      <c r="D433">
        <v>69</v>
      </c>
      <c r="E433">
        <v>0</v>
      </c>
      <c r="F433" t="str">
        <v>GENUVARO AR</v>
      </c>
      <c r="G433" t="str">
        <v>REEMPLAZO ROD</v>
      </c>
      <c r="H433">
        <v>0</v>
      </c>
      <c r="I433" t="str">
        <v>ACEPTADO</v>
      </c>
      <c r="J433" t="str">
        <v>PARANÁ</v>
      </c>
      <c r="K433" t="str">
        <v>PAMI</v>
      </c>
      <c r="L433">
        <v>0</v>
      </c>
    </row>
    <row r="434" spans="2:12" x14ac:dyDescent="0.25">
      <c r="B434" s="20">
        <v>45378</v>
      </c>
      <c r="C434" t="str">
        <v>GALVAN JOSE</v>
      </c>
      <c r="D434">
        <v>42</v>
      </c>
      <c r="E434" t="str">
        <v>CASERES</v>
      </c>
      <c r="F434" t="str">
        <v>FX CALCANEO</v>
      </c>
      <c r="G434" t="str">
        <v>SET DE TORNILLOS CANUL</v>
      </c>
      <c r="H434">
        <v>0</v>
      </c>
      <c r="I434" t="str">
        <v>ACEPTADO</v>
      </c>
      <c r="J434">
        <v>0</v>
      </c>
      <c r="K434" t="str">
        <v>S/M</v>
      </c>
      <c r="L434">
        <v>0</v>
      </c>
    </row>
    <row r="435" spans="2:12" x14ac:dyDescent="0.25">
      <c r="B435" s="20">
        <v>45385</v>
      </c>
      <c r="C435" t="str">
        <v>GODOY MATIAS</v>
      </c>
      <c r="D435">
        <v>36</v>
      </c>
      <c r="E435" t="str">
        <v>CASERES</v>
      </c>
      <c r="F435" t="str">
        <v>FX CADERA</v>
      </c>
      <c r="G435" t="str">
        <v>CLAVO GAMMA</v>
      </c>
      <c r="H435" t="str">
        <v xml:space="preserve">VILLALBA </v>
      </c>
      <c r="I435" t="str">
        <v>ACEPTADO</v>
      </c>
      <c r="J435" t="str">
        <v>PARANÁ</v>
      </c>
      <c r="K435" t="str">
        <v>PAMI</v>
      </c>
      <c r="L435">
        <v>0</v>
      </c>
    </row>
    <row r="436" spans="2:12" x14ac:dyDescent="0.25">
      <c r="B436" s="20">
        <v>45386</v>
      </c>
      <c r="C436" t="str">
        <v>PEREZ AURELIA</v>
      </c>
      <c r="D436">
        <v>66</v>
      </c>
      <c r="E436">
        <v>0</v>
      </c>
      <c r="F436" t="str">
        <v>GONARTROSIS</v>
      </c>
      <c r="G436" t="str">
        <v>PROTESIS DE RODILLA</v>
      </c>
      <c r="H436" t="str">
        <v xml:space="preserve">VILLALBA </v>
      </c>
      <c r="I436" t="str">
        <v>ACEPTADO</v>
      </c>
      <c r="J436" t="str">
        <v>PARANÁ</v>
      </c>
      <c r="K436" t="str">
        <v>PAMI</v>
      </c>
      <c r="L436">
        <v>0</v>
      </c>
    </row>
    <row r="437" spans="2:12" x14ac:dyDescent="0.25">
      <c r="B437" s="20">
        <v>45387</v>
      </c>
      <c r="C437" t="str">
        <v>MANZANO EDUARDO</v>
      </c>
      <c r="D437">
        <v>68</v>
      </c>
      <c r="E437" t="str">
        <v>CASERES</v>
      </c>
      <c r="F437" t="str">
        <v>FX TIBIA Y PER</v>
      </c>
      <c r="G437" t="str">
        <v xml:space="preserve">CLAVO DE TIBIA </v>
      </c>
      <c r="H437">
        <v>0</v>
      </c>
      <c r="I437" t="str">
        <v>ACEPTADO</v>
      </c>
      <c r="J437" t="str">
        <v>PARANÁ</v>
      </c>
      <c r="K437" t="str">
        <v>PAMI</v>
      </c>
      <c r="L437">
        <v>0</v>
      </c>
    </row>
    <row r="438" spans="2:12" x14ac:dyDescent="0.25">
      <c r="B438" s="20">
        <v>45387</v>
      </c>
      <c r="C438" t="str">
        <v>ERHAT LEA TERESA</v>
      </c>
      <c r="D438">
        <v>72</v>
      </c>
      <c r="E438" t="str">
        <v>YACOMO</v>
      </c>
      <c r="F438" t="str">
        <v>GONARTROSIS</v>
      </c>
      <c r="G438" t="str">
        <v>PLACA PHILO</v>
      </c>
      <c r="H438">
        <v>0</v>
      </c>
      <c r="I438" t="str">
        <v>ACEPTADO</v>
      </c>
      <c r="J438" t="str">
        <v>PARANÁ</v>
      </c>
      <c r="K438" t="str">
        <v>PAMI</v>
      </c>
      <c r="L438">
        <v>0</v>
      </c>
    </row>
    <row r="439" spans="2:12" x14ac:dyDescent="0.25">
      <c r="B439" s="20">
        <v>45387</v>
      </c>
      <c r="C439" t="str">
        <v>MARTINEZ SUSANA</v>
      </c>
      <c r="D439">
        <v>0</v>
      </c>
      <c r="E439" t="str">
        <v>GARCIA VITOR</v>
      </c>
      <c r="F439" t="str">
        <v>COXARTROSIS</v>
      </c>
      <c r="G439" t="str">
        <v>PTC COTILO DOBLE M TALLO FEMORAL</v>
      </c>
      <c r="H439">
        <v>0</v>
      </c>
      <c r="I439" t="str">
        <v>ACEPTADO</v>
      </c>
      <c r="J439" t="str">
        <v>VILLAGUAY</v>
      </c>
      <c r="K439" t="str">
        <v>S/M</v>
      </c>
      <c r="L439">
        <v>0</v>
      </c>
    </row>
    <row r="440" spans="2:12" x14ac:dyDescent="0.25">
      <c r="B440" s="20">
        <v>45390</v>
      </c>
      <c r="C440" t="str">
        <v>PABON CELINA LUISA</v>
      </c>
      <c r="D440">
        <v>64</v>
      </c>
      <c r="E440" t="str">
        <v>UCEDO</v>
      </c>
      <c r="F440" t="str">
        <v>FX MUÑECA</v>
      </c>
      <c r="G440" t="str">
        <v>PLACA EDR</v>
      </c>
      <c r="H440" t="str">
        <v xml:space="preserve">VILLALBA </v>
      </c>
      <c r="I440" t="str">
        <v>ACEPTADO</v>
      </c>
      <c r="J440" t="str">
        <v>PARANÁ</v>
      </c>
      <c r="K440" t="str">
        <v>PAMI</v>
      </c>
      <c r="L440">
        <v>0</v>
      </c>
    </row>
    <row r="441" spans="2:12" x14ac:dyDescent="0.25">
      <c r="B441" s="20">
        <v>45390</v>
      </c>
      <c r="C441" t="str">
        <v>EBERHARDT RAQUEL</v>
      </c>
      <c r="D441">
        <v>89</v>
      </c>
      <c r="E441" t="str">
        <v>CASERES</v>
      </c>
      <c r="F441" t="str">
        <v>FX CADERA</v>
      </c>
      <c r="G441" t="str">
        <v>CLAVO GAMMA</v>
      </c>
      <c r="H441" t="str">
        <v xml:space="preserve">VILLALBA </v>
      </c>
      <c r="I441" t="str">
        <v>ACEPTADO</v>
      </c>
      <c r="J441" t="str">
        <v>PARANÁ</v>
      </c>
      <c r="K441" t="str">
        <v>PAMI</v>
      </c>
      <c r="L441">
        <v>0</v>
      </c>
    </row>
    <row r="442" spans="2:12" x14ac:dyDescent="0.25">
      <c r="B442" s="20">
        <v>45390</v>
      </c>
      <c r="C442" t="str">
        <v>MESA BERNARDO</v>
      </c>
      <c r="D442">
        <v>75</v>
      </c>
      <c r="E442" t="str">
        <v>CASERES</v>
      </c>
      <c r="F442" t="str">
        <v>FX CADERA</v>
      </c>
      <c r="G442" t="str">
        <v>CLAVO GAMMA</v>
      </c>
      <c r="H442" t="str">
        <v xml:space="preserve">VILLALBA </v>
      </c>
      <c r="I442" t="str">
        <v>ACEPTADO</v>
      </c>
      <c r="J442" t="str">
        <v>PARANÁ</v>
      </c>
      <c r="K442" t="str">
        <v>PAMI</v>
      </c>
      <c r="L442">
        <v>0</v>
      </c>
    </row>
    <row r="443" spans="2:12" x14ac:dyDescent="0.25">
      <c r="B443" s="20">
        <v>45390</v>
      </c>
      <c r="C443" t="str">
        <v>BRASSEUR AMALIA</v>
      </c>
      <c r="D443">
        <v>79</v>
      </c>
      <c r="E443" t="str">
        <v>CASERES</v>
      </c>
      <c r="F443" t="str">
        <v>FX MUÑECA</v>
      </c>
      <c r="G443" t="str">
        <v>PLACA EDR</v>
      </c>
      <c r="H443" t="str">
        <v xml:space="preserve">VILLALBA </v>
      </c>
      <c r="I443" t="str">
        <v>ACEPTADO</v>
      </c>
      <c r="J443" t="str">
        <v>PARANÁ</v>
      </c>
      <c r="K443" t="str">
        <v>PAMI</v>
      </c>
      <c r="L443">
        <v>0</v>
      </c>
    </row>
    <row r="444" spans="2:12" x14ac:dyDescent="0.25">
      <c r="B444" s="20">
        <v>45390</v>
      </c>
      <c r="C444" t="str">
        <v>VILLAVERDE ALICIA</v>
      </c>
      <c r="D444">
        <v>69</v>
      </c>
      <c r="E444" t="str">
        <v>UCEDO</v>
      </c>
      <c r="F444" t="str">
        <v>HALLUX VALGUS</v>
      </c>
      <c r="G444" t="str">
        <v>TORNILLO BAROUK CLAVI</v>
      </c>
      <c r="H444" t="str">
        <v xml:space="preserve">VILLALBA </v>
      </c>
      <c r="I444" t="str">
        <v>ACEPTADO</v>
      </c>
      <c r="J444" t="str">
        <v>PARANÁ</v>
      </c>
      <c r="K444" t="str">
        <v>PAMI</v>
      </c>
      <c r="L444">
        <v>0</v>
      </c>
    </row>
    <row r="445" spans="2:12" x14ac:dyDescent="0.25">
      <c r="B445" s="20">
        <v>45390</v>
      </c>
      <c r="C445" t="str">
        <v>SCRIBANTI SANTINA</v>
      </c>
      <c r="D445">
        <v>71</v>
      </c>
      <c r="E445" t="str">
        <v>CASERES</v>
      </c>
      <c r="F445" t="str">
        <v>FX HUMERO</v>
      </c>
      <c r="G445" t="str">
        <v>PLACA PHILO T CANULAD</v>
      </c>
      <c r="H445" t="str">
        <v xml:space="preserve">VILLALBA </v>
      </c>
      <c r="I445" t="str">
        <v>ACEPTADO</v>
      </c>
      <c r="J445" t="str">
        <v>PARANÁ</v>
      </c>
      <c r="K445" t="str">
        <v>PAMI</v>
      </c>
      <c r="L445">
        <v>0</v>
      </c>
    </row>
    <row r="446" spans="2:12" x14ac:dyDescent="0.25">
      <c r="B446" s="20">
        <v>45390</v>
      </c>
      <c r="C446" t="str">
        <v>COLLIARD ANDREA</v>
      </c>
      <c r="D446">
        <v>32</v>
      </c>
      <c r="E446" t="str">
        <v>GARCIA VITOR</v>
      </c>
      <c r="F446" t="str">
        <v>OSTEOARTRITIS</v>
      </c>
      <c r="G446" t="str">
        <v>ACIDO HIALURONICO JERIN</v>
      </c>
      <c r="H446">
        <v>0</v>
      </c>
      <c r="I446" t="str">
        <v>ACEPTADO</v>
      </c>
      <c r="J446" t="str">
        <v>PARANÁ</v>
      </c>
      <c r="K446" t="str">
        <v>S/M</v>
      </c>
      <c r="L446">
        <v>0</v>
      </c>
    </row>
    <row r="447" spans="2:12" x14ac:dyDescent="0.25">
      <c r="B447" s="20">
        <v>45390</v>
      </c>
      <c r="C447" t="str">
        <v>MAYDANA SANTIAGO</v>
      </c>
      <c r="D447">
        <v>26</v>
      </c>
      <c r="E447" t="str">
        <v>GARCIA VITOR</v>
      </c>
      <c r="F447" t="str">
        <v>LCA</v>
      </c>
      <c r="G447">
        <v>0</v>
      </c>
      <c r="H447">
        <v>0</v>
      </c>
      <c r="I447" t="str">
        <v>ACEPTADO</v>
      </c>
      <c r="J447" t="str">
        <v>PARANÁ</v>
      </c>
      <c r="K447" t="str">
        <v>S/M</v>
      </c>
      <c r="L447">
        <v>0</v>
      </c>
    </row>
    <row r="448" spans="2:12" x14ac:dyDescent="0.25">
      <c r="B448" s="20">
        <v>45390</v>
      </c>
      <c r="C448" t="str">
        <v xml:space="preserve">OJEDA URIEL </v>
      </c>
      <c r="D448">
        <v>16</v>
      </c>
      <c r="E448" t="str">
        <v>GARCIA VITOR</v>
      </c>
      <c r="F448" t="str">
        <v>LCA</v>
      </c>
      <c r="G448" t="str">
        <v>PLANTILLAS</v>
      </c>
      <c r="H448">
        <v>0</v>
      </c>
      <c r="I448" t="str">
        <v>ACEPTADO</v>
      </c>
      <c r="J448" t="str">
        <v>PARANÁ</v>
      </c>
      <c r="K448" t="str">
        <v>S/M</v>
      </c>
      <c r="L448">
        <v>0</v>
      </c>
    </row>
    <row r="449" spans="2:12" x14ac:dyDescent="0.25">
      <c r="B449" s="20">
        <v>45390</v>
      </c>
      <c r="C449" t="str">
        <v>DUARTE FEDERICO</v>
      </c>
      <c r="D449">
        <v>28</v>
      </c>
      <c r="E449">
        <v>0</v>
      </c>
      <c r="F449" t="str">
        <v>SECCION TEN AQ</v>
      </c>
      <c r="G449" t="str">
        <v>ARPON 4,5</v>
      </c>
      <c r="H449">
        <v>0</v>
      </c>
      <c r="I449" t="str">
        <v>ACEPTADO</v>
      </c>
      <c r="J449" t="str">
        <v>PARANÁ</v>
      </c>
      <c r="K449" t="str">
        <v>S/M</v>
      </c>
      <c r="L449">
        <v>0</v>
      </c>
    </row>
    <row r="450" spans="2:12" x14ac:dyDescent="0.25">
      <c r="B450" s="20">
        <v>45390</v>
      </c>
      <c r="C450" t="str">
        <v>ALBORNOZ IVAN</v>
      </c>
      <c r="D450">
        <v>23</v>
      </c>
      <c r="E450" t="str">
        <v>GARCIA VITOR</v>
      </c>
      <c r="F450" t="str">
        <v>FX CADERA</v>
      </c>
      <c r="G450" t="str">
        <v>CLAVO DHS CLAVO FEMUR</v>
      </c>
      <c r="H450">
        <v>0</v>
      </c>
      <c r="I450" t="str">
        <v>ACEPTADO</v>
      </c>
      <c r="J450" t="str">
        <v>PARANÁ</v>
      </c>
      <c r="K450" t="str">
        <v>S/M</v>
      </c>
      <c r="L450">
        <v>0</v>
      </c>
    </row>
    <row r="451" spans="2:12" x14ac:dyDescent="0.25">
      <c r="B451" s="20">
        <v>45392</v>
      </c>
      <c r="C451" t="str">
        <v>PANICALI NICOLAS</v>
      </c>
      <c r="D451">
        <v>17</v>
      </c>
      <c r="E451" t="str">
        <v xml:space="preserve">HERMIDA </v>
      </c>
      <c r="F451" t="str">
        <v>LCA</v>
      </c>
      <c r="G451" t="str">
        <v>ENDOBOTON TOR INTER  SET DE SUTURA MEÑISCAL</v>
      </c>
      <c r="H451">
        <v>0</v>
      </c>
      <c r="I451" t="str">
        <v>ACEPTADO</v>
      </c>
      <c r="J451" t="str">
        <v>ALCARAZ</v>
      </c>
      <c r="K451" t="str">
        <v>S/M</v>
      </c>
      <c r="L451">
        <v>0</v>
      </c>
    </row>
    <row r="452" spans="2:12" x14ac:dyDescent="0.25">
      <c r="B452" s="20">
        <v>45392</v>
      </c>
      <c r="C452" t="str">
        <v>GOROSITO GRISELDA</v>
      </c>
      <c r="D452">
        <v>58</v>
      </c>
      <c r="E452" t="str">
        <v>GARCIA VITOR</v>
      </c>
      <c r="F452" t="str">
        <v>GENUVARO ART</v>
      </c>
      <c r="G452" t="str">
        <v>PTC RODILLA DERECHA</v>
      </c>
      <c r="H452">
        <v>0</v>
      </c>
      <c r="I452" t="str">
        <v>ACEPTADO</v>
      </c>
      <c r="J452" t="str">
        <v>VILLAGUAY</v>
      </c>
      <c r="K452" t="str">
        <v>S/M</v>
      </c>
      <c r="L452">
        <v>0</v>
      </c>
    </row>
    <row r="453" spans="2:12" x14ac:dyDescent="0.25">
      <c r="B453" s="20">
        <v>45392</v>
      </c>
      <c r="C453" t="str">
        <v>GAZAGNE LIBERTAD</v>
      </c>
      <c r="D453">
        <v>82</v>
      </c>
      <c r="E453" t="str">
        <v>CASERES</v>
      </c>
      <c r="F453" t="str">
        <v>FX CADERA</v>
      </c>
      <c r="G453" t="str">
        <v>PTC THOMPSON</v>
      </c>
      <c r="H453" t="str">
        <v xml:space="preserve">VILLALBA </v>
      </c>
      <c r="I453" t="str">
        <v>ACEPTADO</v>
      </c>
      <c r="J453" t="str">
        <v>PARANÁ</v>
      </c>
      <c r="K453" t="str">
        <v>PAMI</v>
      </c>
      <c r="L453">
        <v>0</v>
      </c>
    </row>
    <row r="454" spans="2:12" x14ac:dyDescent="0.25">
      <c r="B454" s="20">
        <v>45392</v>
      </c>
      <c r="C454" t="str">
        <v>GODOY GASTON</v>
      </c>
      <c r="D454">
        <v>45</v>
      </c>
      <c r="E454" t="str">
        <v>GARCIA VITOR</v>
      </c>
      <c r="F454" t="str">
        <v>LCA</v>
      </c>
      <c r="G454" t="str">
        <v>BOTON AUTOAJUSTABLE</v>
      </c>
      <c r="H454">
        <v>0</v>
      </c>
      <c r="I454" t="str">
        <v>ACEPTADO</v>
      </c>
      <c r="J454" t="str">
        <v>PARANÁ</v>
      </c>
      <c r="K454" t="str">
        <v>S/M</v>
      </c>
      <c r="L454">
        <v>0</v>
      </c>
    </row>
    <row r="455" spans="2:12" x14ac:dyDescent="0.25">
      <c r="B455" s="20">
        <v>45393</v>
      </c>
      <c r="C455" t="str">
        <v>SANCHEZ MARIA</v>
      </c>
      <c r="D455">
        <v>72</v>
      </c>
      <c r="E455" t="str">
        <v>STOPELLO</v>
      </c>
      <c r="F455" t="str">
        <v>GONARTROSIS</v>
      </c>
      <c r="G455" t="str">
        <v>SIST DE RODILLA PARA RTR CEMENTADO COM FEM</v>
      </c>
      <c r="H455">
        <v>0</v>
      </c>
      <c r="I455" t="str">
        <v>ACEPTADO</v>
      </c>
      <c r="J455" t="str">
        <v>RAMIREZ</v>
      </c>
      <c r="K455" t="str">
        <v>S/M</v>
      </c>
      <c r="L455">
        <v>0</v>
      </c>
    </row>
    <row r="456" spans="2:12" x14ac:dyDescent="0.25">
      <c r="B456" s="20">
        <v>45393</v>
      </c>
      <c r="C456" t="str">
        <v>FORZIATI ANGELA</v>
      </c>
      <c r="D456">
        <v>79</v>
      </c>
      <c r="E456" t="str">
        <v>YACOMO</v>
      </c>
      <c r="F456" t="str">
        <v>OSTEOTOMIA HV</v>
      </c>
      <c r="G456" t="str">
        <v>TORNILLO DE HERBERT</v>
      </c>
      <c r="H456" t="str">
        <v xml:space="preserve">VILLALBA </v>
      </c>
      <c r="I456" t="str">
        <v>ACEPTADO</v>
      </c>
      <c r="J456" t="str">
        <v>PARANÁ</v>
      </c>
      <c r="K456" t="str">
        <v>PAMI</v>
      </c>
      <c r="L456">
        <v>0</v>
      </c>
    </row>
    <row r="457" spans="2:12" x14ac:dyDescent="0.25">
      <c r="B457" s="20">
        <v>45393</v>
      </c>
      <c r="C457" t="str">
        <v>SUCARRAT MIGUEL</v>
      </c>
      <c r="D457">
        <v>75</v>
      </c>
      <c r="E457" t="str">
        <v>STOPELLO</v>
      </c>
      <c r="F457">
        <v>0</v>
      </c>
      <c r="G457" t="str">
        <v>RTR ANATOMICO MODUL</v>
      </c>
      <c r="H457" t="str">
        <v xml:space="preserve">VILLALBA </v>
      </c>
      <c r="I457" t="str">
        <v>ACEPTADO</v>
      </c>
      <c r="J457" t="str">
        <v>PARANÁ</v>
      </c>
      <c r="K457" t="str">
        <v>PAMI</v>
      </c>
      <c r="L457">
        <v>0</v>
      </c>
    </row>
    <row r="458" spans="2:12" x14ac:dyDescent="0.25">
      <c r="B458" s="20">
        <v>45394</v>
      </c>
      <c r="C458" t="str">
        <v>PROSS DELIA</v>
      </c>
      <c r="D458">
        <v>76</v>
      </c>
      <c r="E458">
        <v>0</v>
      </c>
      <c r="F458" t="str">
        <v>FX CADERA</v>
      </c>
      <c r="G458" t="str">
        <v>CLAVO GAMMA</v>
      </c>
      <c r="H458" t="str">
        <v xml:space="preserve">VILLALBA </v>
      </c>
      <c r="I458" t="str">
        <v>ACEPTADO</v>
      </c>
      <c r="J458" t="str">
        <v xml:space="preserve">PARANÁ </v>
      </c>
      <c r="K458" t="str">
        <v>PAMI</v>
      </c>
      <c r="L458">
        <v>0</v>
      </c>
    </row>
    <row r="459" spans="2:12" x14ac:dyDescent="0.25">
      <c r="B459" s="20">
        <v>45394</v>
      </c>
      <c r="C459" t="str">
        <v>PATIÑO DAMARIS</v>
      </c>
      <c r="D459">
        <v>16</v>
      </c>
      <c r="E459" t="str">
        <v>CASERES</v>
      </c>
      <c r="F459" t="str">
        <v>FX TOBILLO</v>
      </c>
      <c r="G459" t="str">
        <v>PLACA TERCIO TUBO</v>
      </c>
      <c r="H459">
        <v>0</v>
      </c>
      <c r="I459" t="str">
        <v>ACEPTADO</v>
      </c>
      <c r="J459" t="str">
        <v>PARANÁ</v>
      </c>
      <c r="K459" t="str">
        <v>S/M</v>
      </c>
      <c r="L459">
        <v>0</v>
      </c>
    </row>
    <row r="460" spans="2:12" x14ac:dyDescent="0.25">
      <c r="B460" s="20">
        <v>45397</v>
      </c>
      <c r="C460" t="str">
        <v>VENENCIO AURORA</v>
      </c>
      <c r="D460">
        <v>45</v>
      </c>
      <c r="E460" t="str">
        <v>CASERES</v>
      </c>
      <c r="F460" t="str">
        <v>FX MUÑECA</v>
      </c>
      <c r="G460" t="str">
        <v>PLACA EDR</v>
      </c>
      <c r="H460">
        <v>0</v>
      </c>
      <c r="I460" t="str">
        <v>ACEPTADO</v>
      </c>
      <c r="J460" t="str">
        <v>PARANÁ</v>
      </c>
      <c r="K460" t="str">
        <v>S/M</v>
      </c>
      <c r="L460">
        <v>0</v>
      </c>
    </row>
    <row r="461" spans="2:12" x14ac:dyDescent="0.25">
      <c r="B461" s="20">
        <v>45398</v>
      </c>
      <c r="C461" t="str">
        <v>RAMALLO MIRTA</v>
      </c>
      <c r="D461">
        <v>74</v>
      </c>
      <c r="E461" t="str">
        <v>UCEDO</v>
      </c>
      <c r="F461" t="str">
        <v>FX CADERA</v>
      </c>
      <c r="G461" t="str">
        <v>PTC COTILO DM TALLO LY C</v>
      </c>
      <c r="H461" t="str">
        <v xml:space="preserve">VILLALBA </v>
      </c>
      <c r="I461" t="str">
        <v>ACEPTADO</v>
      </c>
      <c r="J461" t="str">
        <v>PARANÁ</v>
      </c>
      <c r="K461" t="str">
        <v>PAMI</v>
      </c>
      <c r="L461">
        <v>0</v>
      </c>
    </row>
    <row r="462" spans="2:12" x14ac:dyDescent="0.25">
      <c r="B462" s="20">
        <v>45398</v>
      </c>
      <c r="C462" t="str">
        <v>AGUILAR MARIA EVA</v>
      </c>
      <c r="D462">
        <v>71</v>
      </c>
      <c r="E462" t="str">
        <v>CASERES</v>
      </c>
      <c r="F462" t="str">
        <v>FX MUÑECA</v>
      </c>
      <c r="G462" t="str">
        <v>PLACA EDR DOBLE HILERA</v>
      </c>
      <c r="H462" t="str">
        <v xml:space="preserve">VILLALBA </v>
      </c>
      <c r="I462" t="str">
        <v>ACEPTADO</v>
      </c>
      <c r="J462" t="str">
        <v>PARANÁ</v>
      </c>
      <c r="K462" t="str">
        <v>PAMI</v>
      </c>
      <c r="L462">
        <v>0</v>
      </c>
    </row>
    <row r="463" spans="2:12" x14ac:dyDescent="0.25">
      <c r="B463" s="20">
        <v>45399</v>
      </c>
      <c r="C463" t="str">
        <v>MORALES IRMA LORENZA</v>
      </c>
      <c r="D463">
        <v>72</v>
      </c>
      <c r="E463" t="str">
        <v>CASERES</v>
      </c>
      <c r="F463" t="str">
        <v>FX MUÑECA</v>
      </c>
      <c r="G463" t="str">
        <v>PLACA EDR DOBLE HILERA</v>
      </c>
      <c r="H463" t="str">
        <v xml:space="preserve">VILLALBA </v>
      </c>
      <c r="I463" t="str">
        <v>ACEPTADO</v>
      </c>
      <c r="J463" t="str">
        <v>PARANÁ</v>
      </c>
      <c r="K463" t="str">
        <v>PAMI</v>
      </c>
      <c r="L463">
        <v>0</v>
      </c>
    </row>
    <row r="464" spans="2:12" x14ac:dyDescent="0.25">
      <c r="B464" s="20">
        <v>45399</v>
      </c>
      <c r="C464" t="str">
        <v>WAGNER OLGA</v>
      </c>
      <c r="D464">
        <v>77</v>
      </c>
      <c r="E464" t="str">
        <v>GARCIA VITOR</v>
      </c>
      <c r="F464" t="str">
        <v>AFLOJAMIE URT</v>
      </c>
      <c r="G464" t="str">
        <v>ESPACIADOR</v>
      </c>
      <c r="H464" t="str">
        <v xml:space="preserve">VILLALBA </v>
      </c>
      <c r="I464" t="str">
        <v>ACEPTADO</v>
      </c>
      <c r="J464" t="str">
        <v>PARANÁ</v>
      </c>
      <c r="K464" t="str">
        <v>PAMI</v>
      </c>
      <c r="L464">
        <v>0</v>
      </c>
    </row>
    <row r="465" spans="2:12" x14ac:dyDescent="0.25">
      <c r="B465" s="20">
        <v>45399</v>
      </c>
      <c r="C465" t="str">
        <v>FRIES RUBEN</v>
      </c>
      <c r="D465">
        <v>74</v>
      </c>
      <c r="E465" t="str">
        <v>GARCIA VITOR</v>
      </c>
      <c r="F465" t="str">
        <v>INFECC PERIPRO</v>
      </c>
      <c r="G465" t="str">
        <v>ESPACIADOR</v>
      </c>
      <c r="H465" t="str">
        <v xml:space="preserve">VILLALBA </v>
      </c>
      <c r="I465" t="str">
        <v>ACEPTADO</v>
      </c>
      <c r="J465" t="str">
        <v>PARANÁ</v>
      </c>
      <c r="K465" t="str">
        <v>PAMI</v>
      </c>
      <c r="L465">
        <v>0</v>
      </c>
    </row>
    <row r="466" spans="2:12" x14ac:dyDescent="0.25">
      <c r="B466" s="20">
        <v>45399</v>
      </c>
      <c r="C466" t="str">
        <v>CHARVEY ELSA</v>
      </c>
      <c r="D466">
        <v>67</v>
      </c>
      <c r="E466" t="str">
        <v>STOPELLO</v>
      </c>
      <c r="F466" t="str">
        <v>GONARTROSIS</v>
      </c>
      <c r="G466" t="str">
        <v>PTR DERECHA</v>
      </c>
      <c r="H466" t="str">
        <v xml:space="preserve">VILLALBA </v>
      </c>
      <c r="I466" t="str">
        <v>ACEPTADO</v>
      </c>
      <c r="J466" t="str">
        <v>PARANÁ</v>
      </c>
      <c r="K466" t="str">
        <v>PAMI</v>
      </c>
      <c r="L466">
        <v>0</v>
      </c>
    </row>
    <row r="467" spans="2:12" x14ac:dyDescent="0.25">
      <c r="B467" s="20">
        <v>45399</v>
      </c>
      <c r="C467" t="str">
        <v>CONSTANTE SILVIA</v>
      </c>
      <c r="D467">
        <v>63</v>
      </c>
      <c r="E467" t="str">
        <v>STOPELLO</v>
      </c>
      <c r="F467" t="str">
        <v>GONARTROSIS</v>
      </c>
      <c r="G467" t="str">
        <v>PTR IZQUIERDA</v>
      </c>
      <c r="H467" t="str">
        <v xml:space="preserve">VILLALBA </v>
      </c>
      <c r="I467" t="str">
        <v>ACEPTADO</v>
      </c>
      <c r="J467" t="str">
        <v>PARANÁ</v>
      </c>
      <c r="K467" t="str">
        <v>PAMI</v>
      </c>
      <c r="L467">
        <v>0</v>
      </c>
    </row>
    <row r="468" spans="2:12" x14ac:dyDescent="0.25">
      <c r="B468" s="20">
        <v>45400</v>
      </c>
      <c r="C468" t="str">
        <v>ALACANO JUAN</v>
      </c>
      <c r="D468">
        <v>58</v>
      </c>
      <c r="E468" t="str">
        <v>STOPELLO</v>
      </c>
      <c r="F468" t="str">
        <v>GONARTROSIS</v>
      </c>
      <c r="G468" t="str">
        <v>SIST DE RODILLA PARA RTR CEMENTADO COM FEM</v>
      </c>
      <c r="H468">
        <v>0</v>
      </c>
      <c r="I468" t="str">
        <v>ACEPTADO</v>
      </c>
      <c r="J468" t="str">
        <v>PARANÁ</v>
      </c>
      <c r="K468" t="str">
        <v>S/M</v>
      </c>
      <c r="L468">
        <v>0</v>
      </c>
    </row>
    <row r="469" spans="2:12" x14ac:dyDescent="0.25">
      <c r="B469" s="20">
        <v>45400</v>
      </c>
      <c r="C469" t="str">
        <v>CARRARA JULIO</v>
      </c>
      <c r="D469">
        <v>78</v>
      </c>
      <c r="E469" t="str">
        <v>CATRIEL GODOY</v>
      </c>
      <c r="F469" t="str">
        <v>OSTEOSINTESIS</v>
      </c>
      <c r="G469" t="str">
        <v>PLACA DHS</v>
      </c>
      <c r="H469" t="str">
        <v xml:space="preserve">VILLALBA </v>
      </c>
      <c r="I469" t="str">
        <v>ACEPTADO</v>
      </c>
      <c r="J469" t="str">
        <v>PARANÁ</v>
      </c>
      <c r="K469" t="str">
        <v>PAMI</v>
      </c>
      <c r="L469">
        <v>0</v>
      </c>
    </row>
    <row r="470" spans="2:12" x14ac:dyDescent="0.25">
      <c r="B470" s="20">
        <v>45406</v>
      </c>
      <c r="C470" t="str">
        <v>DEL VALLE ORLANDO</v>
      </c>
      <c r="D470">
        <v>75</v>
      </c>
      <c r="E470" t="str">
        <v>STOPELLO</v>
      </c>
      <c r="F470" t="str">
        <v>AFLOJAMIENTO P</v>
      </c>
      <c r="G470" t="str">
        <v>PTC DE REVISION</v>
      </c>
      <c r="H470" t="str">
        <v xml:space="preserve">VILLALBA </v>
      </c>
      <c r="I470" t="str">
        <v>ACEPTADO</v>
      </c>
      <c r="J470" t="str">
        <v>PARANÁ</v>
      </c>
      <c r="K470" t="str">
        <v>PAMI</v>
      </c>
      <c r="L470">
        <v>0</v>
      </c>
    </row>
    <row r="471" spans="2:12" x14ac:dyDescent="0.25">
      <c r="B471" s="20">
        <v>45406</v>
      </c>
      <c r="C471" t="str">
        <v>PEIRANO PATRICIA</v>
      </c>
      <c r="D471">
        <v>64</v>
      </c>
      <c r="E471" t="str">
        <v>GARCIA VITOR</v>
      </c>
      <c r="F471" t="str">
        <v>FX MUÑECA</v>
      </c>
      <c r="G471" t="str">
        <v>PLACA DOBLE HILERA</v>
      </c>
      <c r="H471" t="str">
        <v xml:space="preserve">VILLALBA </v>
      </c>
      <c r="I471" t="str">
        <v>ACEPTADO</v>
      </c>
      <c r="J471" t="str">
        <v>PARANÁ</v>
      </c>
      <c r="K471" t="str">
        <v>PAMI</v>
      </c>
      <c r="L471">
        <v>0</v>
      </c>
    </row>
    <row r="472" spans="2:12" x14ac:dyDescent="0.25">
      <c r="B472" s="20">
        <v>45406</v>
      </c>
      <c r="C472" t="str">
        <v>FERNANDEZ MANUELA</v>
      </c>
      <c r="D472">
        <v>79</v>
      </c>
      <c r="E472" t="str">
        <v>MELI RIOS</v>
      </c>
      <c r="F472" t="str">
        <v>FX CADERA</v>
      </c>
      <c r="G472" t="str">
        <v>PTC THOMPSON</v>
      </c>
      <c r="H472" t="str">
        <v xml:space="preserve">VILLALBA </v>
      </c>
      <c r="I472" t="str">
        <v>ACEPTADO</v>
      </c>
      <c r="J472" t="str">
        <v>PARANÁ</v>
      </c>
      <c r="K472" t="str">
        <v>PAMI</v>
      </c>
      <c r="L472">
        <v>0</v>
      </c>
    </row>
    <row r="473" spans="2:12" x14ac:dyDescent="0.25">
      <c r="B473" s="20">
        <v>45406</v>
      </c>
      <c r="C473" t="str">
        <v>MARTINEZ OSCAR</v>
      </c>
      <c r="D473">
        <v>68</v>
      </c>
      <c r="E473" t="str">
        <v>MELI RIOS</v>
      </c>
      <c r="F473" t="str">
        <v>LUXOFRACTURA</v>
      </c>
      <c r="G473" t="str">
        <v>T CANULADOS PLACA 2. 4</v>
      </c>
      <c r="H473" t="str">
        <v xml:space="preserve">VILLALBA </v>
      </c>
      <c r="I473" t="str">
        <v>ACEPTADO</v>
      </c>
      <c r="J473" t="str">
        <v>PARANÁ</v>
      </c>
      <c r="K473" t="str">
        <v>PAMI</v>
      </c>
      <c r="L473">
        <v>0</v>
      </c>
    </row>
    <row r="474" spans="2:12" x14ac:dyDescent="0.25">
      <c r="B474" s="20">
        <v>45406</v>
      </c>
      <c r="C474" t="str">
        <v>MONTENEGRO TERESA</v>
      </c>
      <c r="D474">
        <v>74</v>
      </c>
      <c r="E474" t="str">
        <v>VENTURI</v>
      </c>
      <c r="F474" t="str">
        <v>ART RODILLA</v>
      </c>
      <c r="G474" t="str">
        <v xml:space="preserve">PTR </v>
      </c>
      <c r="H474" t="str">
        <v xml:space="preserve">VILLALBA </v>
      </c>
      <c r="I474" t="str">
        <v>ACEPTADO</v>
      </c>
      <c r="J474" t="str">
        <v>PARANÁ</v>
      </c>
      <c r="K474" t="str">
        <v>PAMI</v>
      </c>
      <c r="L474">
        <v>0</v>
      </c>
    </row>
    <row r="475" spans="2:12" x14ac:dyDescent="0.25">
      <c r="B475" s="20">
        <v>45406</v>
      </c>
      <c r="C475" t="str">
        <v>KLEIN MATILDE</v>
      </c>
      <c r="D475">
        <v>79</v>
      </c>
      <c r="E475" t="str">
        <v>MELI RIOS</v>
      </c>
      <c r="F475" t="str">
        <v>FX CADERA</v>
      </c>
      <c r="G475" t="str">
        <v>PTC THOMPSON</v>
      </c>
      <c r="H475" t="str">
        <v xml:space="preserve">VILLALBA </v>
      </c>
      <c r="I475" t="str">
        <v>ACEPTADO</v>
      </c>
      <c r="J475" t="str">
        <v>PARANÁ</v>
      </c>
      <c r="K475" t="str">
        <v>PAMI</v>
      </c>
      <c r="L475">
        <v>0</v>
      </c>
    </row>
    <row r="476" spans="2:12" x14ac:dyDescent="0.25">
      <c r="B476" s="20">
        <v>45406</v>
      </c>
      <c r="C476" t="str">
        <v>SALCEDO KEVIN</v>
      </c>
      <c r="D476">
        <v>30</v>
      </c>
      <c r="E476" t="str">
        <v>GARCIA VITOR</v>
      </c>
      <c r="F476" t="str">
        <v>LCA</v>
      </c>
      <c r="G476" t="str">
        <v>T INTERF PLUMA DE RADIO BOTON AUTOAJ</v>
      </c>
      <c r="H476">
        <v>0</v>
      </c>
      <c r="I476" t="str">
        <v>ACEPTADO</v>
      </c>
      <c r="J476" t="str">
        <v>VIALE</v>
      </c>
      <c r="K476" t="str">
        <v>S/M</v>
      </c>
      <c r="L476">
        <v>0</v>
      </c>
    </row>
    <row r="477" spans="2:12" x14ac:dyDescent="0.25">
      <c r="B477" s="20">
        <v>45407</v>
      </c>
      <c r="C477" t="str">
        <v>MARTINEZ MARIA</v>
      </c>
      <c r="D477">
        <v>54</v>
      </c>
      <c r="E477" t="str">
        <v>CASERES</v>
      </c>
      <c r="F477" t="str">
        <v>FX TOBILLO</v>
      </c>
      <c r="G477" t="str">
        <v>PLACA TERCIO TUBO</v>
      </c>
      <c r="H477" t="str">
        <v xml:space="preserve">VILLALBA </v>
      </c>
      <c r="I477" t="str">
        <v>ACEPTADO</v>
      </c>
      <c r="J477" t="str">
        <v>PARANÁ</v>
      </c>
      <c r="K477" t="str">
        <v>PAMI</v>
      </c>
      <c r="L477">
        <v>0</v>
      </c>
    </row>
    <row r="478" spans="2:12" x14ac:dyDescent="0.25">
      <c r="B478" s="20">
        <v>45408</v>
      </c>
      <c r="C478" t="str">
        <v>TABORDA ELSA</v>
      </c>
      <c r="D478">
        <v>75</v>
      </c>
      <c r="E478" t="str">
        <v>STOPELLO</v>
      </c>
      <c r="F478" t="str">
        <v>GONARTROSIS</v>
      </c>
      <c r="G478" t="str">
        <v>PTR</v>
      </c>
      <c r="H478" t="str">
        <v>VILLLBA</v>
      </c>
      <c r="I478" t="str">
        <v>ACEPTADO</v>
      </c>
      <c r="J478" t="str">
        <v>PARANÁ</v>
      </c>
      <c r="K478" t="str">
        <v>PAMI</v>
      </c>
      <c r="L478">
        <v>0</v>
      </c>
    </row>
    <row r="479" spans="2:12" x14ac:dyDescent="0.25">
      <c r="B479" s="20">
        <v>45408</v>
      </c>
      <c r="C479" t="str">
        <v>COLMAN ANIBAL</v>
      </c>
      <c r="D479">
        <v>55</v>
      </c>
      <c r="E479" t="str">
        <v>YACOMO</v>
      </c>
      <c r="F479" t="str">
        <v>GONARTROSIS</v>
      </c>
      <c r="G479" t="str">
        <v>PTC</v>
      </c>
      <c r="H479" t="str">
        <v xml:space="preserve">VILLALBA </v>
      </c>
      <c r="I479" t="str">
        <v>ACEPTADO</v>
      </c>
      <c r="J479" t="str">
        <v>PARANÁ</v>
      </c>
      <c r="K479" t="str">
        <v>PAMI</v>
      </c>
      <c r="L479">
        <v>0</v>
      </c>
    </row>
    <row r="480" spans="2:12" x14ac:dyDescent="0.25">
      <c r="B480" s="20">
        <v>45409</v>
      </c>
      <c r="C480" t="str">
        <v>OJEDA JOSUE</v>
      </c>
      <c r="D480">
        <v>21</v>
      </c>
      <c r="E480" t="str">
        <v>GARCIA VITOR</v>
      </c>
      <c r="F480" t="str">
        <v>LCA</v>
      </c>
      <c r="G480" t="str">
        <v>BOTON AUTOAJUSTABLE, TORNILLO PUNTA de radio frec inmobilizador</v>
      </c>
      <c r="H480">
        <v>0</v>
      </c>
      <c r="I480" t="str">
        <v>ACEPTADO</v>
      </c>
      <c r="J480" t="str">
        <v>PARANÁ</v>
      </c>
      <c r="K480" t="str">
        <v>S/M</v>
      </c>
      <c r="L480">
        <v>0</v>
      </c>
    </row>
    <row r="481" spans="2:12" x14ac:dyDescent="0.25">
      <c r="B481" s="20">
        <v>45414</v>
      </c>
      <c r="C481" t="str">
        <v>SALAZAR GENOVEVA</v>
      </c>
      <c r="D481">
        <v>88</v>
      </c>
      <c r="E481" t="str">
        <v>CASERES</v>
      </c>
      <c r="F481" t="str">
        <v>FX TOBILLO</v>
      </c>
      <c r="G481" t="str">
        <v xml:space="preserve">T CANULADOS 3,5 </v>
      </c>
      <c r="H481" t="str">
        <v xml:space="preserve">VILLALBA </v>
      </c>
      <c r="I481" t="str">
        <v>ACEPTADO</v>
      </c>
      <c r="J481" t="str">
        <v>PARANÁ</v>
      </c>
      <c r="K481" t="str">
        <v>PAMI</v>
      </c>
      <c r="L481">
        <v>0</v>
      </c>
    </row>
    <row r="482" spans="2:12" x14ac:dyDescent="0.25">
      <c r="B482" s="20">
        <v>45414</v>
      </c>
      <c r="C482" t="str">
        <v>BREGANT ESTELA</v>
      </c>
      <c r="D482">
        <v>71</v>
      </c>
      <c r="E482" t="str">
        <v>CASERES</v>
      </c>
      <c r="F482" t="str">
        <v>FX MUÑECA</v>
      </c>
      <c r="G482" t="str">
        <v xml:space="preserve">PLACA VOLAR </v>
      </c>
      <c r="H482" t="str">
        <v xml:space="preserve">VILLALBA </v>
      </c>
      <c r="I482" t="str">
        <v>ACEPTADO</v>
      </c>
      <c r="J482" t="str">
        <v>PARANÁ</v>
      </c>
      <c r="K482" t="str">
        <v>PAMI</v>
      </c>
      <c r="L482">
        <v>0</v>
      </c>
    </row>
    <row r="483" spans="2:12" x14ac:dyDescent="0.25">
      <c r="B483" s="20">
        <v>45415</v>
      </c>
      <c r="C483" t="str">
        <v>PERINA GRACIELA</v>
      </c>
      <c r="D483">
        <v>56</v>
      </c>
      <c r="E483" t="str">
        <v>YACOMO</v>
      </c>
      <c r="F483" t="str">
        <v>GONARTROSIS</v>
      </c>
      <c r="G483" t="str">
        <v>PTR DERECHA</v>
      </c>
      <c r="H483">
        <v>0</v>
      </c>
      <c r="I483" t="str">
        <v>ACEPTADO</v>
      </c>
      <c r="J483" t="str">
        <v>PARANÁ</v>
      </c>
      <c r="K483" t="str">
        <v>S/M</v>
      </c>
      <c r="L483">
        <v>0</v>
      </c>
    </row>
    <row r="484" spans="2:12" x14ac:dyDescent="0.25">
      <c r="B484" s="20">
        <v>45418</v>
      </c>
      <c r="C484" t="str">
        <v>DIAZ ESTELA</v>
      </c>
      <c r="D484">
        <v>76</v>
      </c>
      <c r="E484" t="str">
        <v>CASERES</v>
      </c>
      <c r="F484" t="str">
        <v>FX CADERA</v>
      </c>
      <c r="G484" t="str">
        <v>CLAVO GAMMA</v>
      </c>
      <c r="H484" t="str">
        <v>VILLALBA</v>
      </c>
      <c r="I484" t="str">
        <v>ACEPTADO</v>
      </c>
      <c r="J484" t="str">
        <v>PARANÁ</v>
      </c>
      <c r="K484" t="str">
        <v>PAMI</v>
      </c>
      <c r="L484">
        <v>0</v>
      </c>
    </row>
    <row r="485" spans="2:12" x14ac:dyDescent="0.25">
      <c r="B485" s="20">
        <v>45418</v>
      </c>
      <c r="C485" t="str">
        <v>FLORES BLANCA</v>
      </c>
      <c r="D485">
        <v>80</v>
      </c>
      <c r="E485" t="str">
        <v>CASERES</v>
      </c>
      <c r="F485" t="str">
        <v>FX CADERA</v>
      </c>
      <c r="G485" t="str">
        <v>PTC THOMPSON</v>
      </c>
      <c r="H485" t="str">
        <v>VILLALBA</v>
      </c>
      <c r="I485" t="str">
        <v>ACEPTADO</v>
      </c>
      <c r="J485" t="str">
        <v>PARANÁ</v>
      </c>
      <c r="K485" t="str">
        <v>PAMI</v>
      </c>
      <c r="L485">
        <v>0</v>
      </c>
    </row>
    <row r="486" spans="2:12" x14ac:dyDescent="0.25">
      <c r="B486" s="20">
        <v>45418</v>
      </c>
      <c r="C486" t="str">
        <v>MODENUTTI DEOLINDA</v>
      </c>
      <c r="D486">
        <v>87</v>
      </c>
      <c r="E486" t="str">
        <v>CASERES</v>
      </c>
      <c r="F486" t="str">
        <v>FX CADERA</v>
      </c>
      <c r="G486" t="str">
        <v>CLAVO GAMMA</v>
      </c>
      <c r="H486" t="str">
        <v>VILLALBA</v>
      </c>
      <c r="I486" t="str">
        <v>ACEPTADO</v>
      </c>
      <c r="J486" t="str">
        <v>PARANÁ</v>
      </c>
      <c r="K486" t="str">
        <v>PAMI</v>
      </c>
      <c r="L486">
        <v>0</v>
      </c>
    </row>
    <row r="487" spans="2:12" x14ac:dyDescent="0.25">
      <c r="B487" s="20">
        <v>45419</v>
      </c>
      <c r="C487" t="str">
        <v>PARRA MARIA</v>
      </c>
      <c r="D487">
        <v>63</v>
      </c>
      <c r="E487" t="str">
        <v>VENTURI</v>
      </c>
      <c r="F487" t="str">
        <v>HALLUX VALGUS</v>
      </c>
      <c r="G487" t="str">
        <v>PLACAS Y TORN PLAC HER</v>
      </c>
      <c r="H487" t="str">
        <v>VILLALBA</v>
      </c>
      <c r="I487" t="str">
        <v>ACEPTADO</v>
      </c>
      <c r="J487" t="str">
        <v>PARANÁ</v>
      </c>
      <c r="K487" t="str">
        <v>PAMI</v>
      </c>
      <c r="L487">
        <v>0</v>
      </c>
    </row>
    <row r="488" spans="2:12" x14ac:dyDescent="0.25">
      <c r="B488" s="20">
        <v>45419</v>
      </c>
      <c r="C488" t="str">
        <v>LELL ANITA</v>
      </c>
      <c r="D488">
        <v>72</v>
      </c>
      <c r="E488" t="str">
        <v>CATRIEL GODOY</v>
      </c>
      <c r="F488" t="str">
        <v>FX HUMERO</v>
      </c>
      <c r="G488" t="str">
        <v>PROTESIS DE  HOMBRO</v>
      </c>
      <c r="H488" t="str">
        <v>VILLALBA</v>
      </c>
      <c r="I488" t="str">
        <v>ACEPTADO</v>
      </c>
      <c r="J488" t="str">
        <v>PARANÁ</v>
      </c>
      <c r="K488" t="str">
        <v>PAMI</v>
      </c>
      <c r="L488">
        <v>0</v>
      </c>
    </row>
    <row r="489" spans="2:12" x14ac:dyDescent="0.25">
      <c r="B489" s="20">
        <v>45419</v>
      </c>
      <c r="C489" t="str">
        <v>GUZZONATO GERARDO</v>
      </c>
      <c r="D489">
        <v>0</v>
      </c>
      <c r="E489" t="str">
        <v xml:space="preserve">HERMIDA </v>
      </c>
      <c r="F489">
        <v>0</v>
      </c>
      <c r="G489" t="str">
        <v>ESPACIADOR</v>
      </c>
      <c r="H489" t="str">
        <v>VILLALBA</v>
      </c>
      <c r="I489" t="str">
        <v>ACEPTADO</v>
      </c>
      <c r="J489" t="str">
        <v>NOGOYA</v>
      </c>
      <c r="K489" t="str">
        <v>PAMI</v>
      </c>
      <c r="L489">
        <v>0</v>
      </c>
    </row>
    <row r="490" spans="2:12" x14ac:dyDescent="0.25">
      <c r="B490" s="20">
        <v>45421</v>
      </c>
      <c r="C490" t="str">
        <v>LOVERA ERSILIA</v>
      </c>
      <c r="D490">
        <v>89</v>
      </c>
      <c r="E490" t="str">
        <v>GARCIA VITOR</v>
      </c>
      <c r="F490" t="str">
        <v>GENUVARO ART</v>
      </c>
      <c r="G490" t="str">
        <v>PTR BISAGRA ROTATORIA</v>
      </c>
      <c r="H490" t="str">
        <v>VILLALBA</v>
      </c>
      <c r="I490" t="str">
        <v>ACEPTADO</v>
      </c>
      <c r="J490" t="str">
        <v>PARANÁ</v>
      </c>
      <c r="K490" t="str">
        <v>PAMI</v>
      </c>
      <c r="L490">
        <v>0</v>
      </c>
    </row>
    <row r="491" spans="2:12" x14ac:dyDescent="0.25">
      <c r="B491" s="20">
        <v>45421</v>
      </c>
      <c r="C491" t="str">
        <v>OTTO  HECTOR</v>
      </c>
      <c r="D491">
        <v>56</v>
      </c>
      <c r="E491" t="str">
        <v>STOPELLO</v>
      </c>
      <c r="F491" t="str">
        <v>GONARTROSIS</v>
      </c>
      <c r="G491" t="str">
        <v>PTR</v>
      </c>
      <c r="H491">
        <v>0</v>
      </c>
      <c r="I491" t="str">
        <v>ACEPTADO</v>
      </c>
      <c r="J491" t="str">
        <v>PARANÁ</v>
      </c>
      <c r="K491" t="str">
        <v>S/M</v>
      </c>
      <c r="L491">
        <v>0</v>
      </c>
    </row>
    <row r="492" spans="2:12" x14ac:dyDescent="0.25">
      <c r="B492" s="20">
        <v>45421</v>
      </c>
      <c r="C492" t="str">
        <v>SANABRIA MATIAS</v>
      </c>
      <c r="D492">
        <v>33</v>
      </c>
      <c r="E492" t="str">
        <v>VENTURI</v>
      </c>
      <c r="F492" t="str">
        <v>INESTABILIDAD DE H</v>
      </c>
      <c r="G492" t="str">
        <v xml:space="preserve"> TORNILLOS CANULADOS </v>
      </c>
      <c r="H492">
        <v>0</v>
      </c>
      <c r="I492" t="str">
        <v>ACEPTADO</v>
      </c>
      <c r="J492" t="str">
        <v>PARANÁ</v>
      </c>
      <c r="K492" t="str">
        <v>S/M</v>
      </c>
      <c r="L492">
        <v>0</v>
      </c>
    </row>
    <row r="493" spans="2:12" x14ac:dyDescent="0.25">
      <c r="B493" s="20">
        <v>45421</v>
      </c>
      <c r="C493" t="str">
        <v>SANABRIA MATIAS</v>
      </c>
      <c r="D493">
        <v>33</v>
      </c>
      <c r="E493" t="str">
        <v>VENTURI</v>
      </c>
      <c r="F493" t="str">
        <v>INESTABILIDAD DE H</v>
      </c>
      <c r="G493" t="str">
        <v xml:space="preserve"> ARPONES</v>
      </c>
      <c r="H493">
        <v>0</v>
      </c>
      <c r="I493" t="str">
        <v>ACEPTADO</v>
      </c>
      <c r="J493" t="str">
        <v>PARANÁ</v>
      </c>
      <c r="K493" t="str">
        <v>S/M</v>
      </c>
      <c r="L493">
        <v>0</v>
      </c>
    </row>
    <row r="494" spans="2:12" x14ac:dyDescent="0.25">
      <c r="B494" s="20">
        <v>45427</v>
      </c>
      <c r="C494" t="str">
        <v>ALDECOA NORMA</v>
      </c>
      <c r="D494">
        <v>0</v>
      </c>
      <c r="E494" t="str">
        <v xml:space="preserve">URANGA </v>
      </c>
      <c r="F494" t="str">
        <v>ARTROSIS DE COLUMNA</v>
      </c>
      <c r="G494">
        <v>0</v>
      </c>
      <c r="H494" t="str">
        <v>VILLALBA</v>
      </c>
      <c r="I494" t="str">
        <v>ACEPTADO</v>
      </c>
      <c r="J494" t="str">
        <v>VILLAGUAY</v>
      </c>
      <c r="K494" t="str">
        <v>PAMI</v>
      </c>
      <c r="L494">
        <v>0</v>
      </c>
    </row>
    <row r="495" spans="2:12" x14ac:dyDescent="0.25">
      <c r="B495" s="20">
        <v>45427</v>
      </c>
      <c r="C495" t="str">
        <v>LUCEY  WALTER</v>
      </c>
      <c r="D495">
        <v>49</v>
      </c>
      <c r="E495" t="str">
        <v>CASERES</v>
      </c>
      <c r="F495" t="str">
        <v>FX CADERA</v>
      </c>
      <c r="G495" t="str">
        <v>CLAVO GAMMA</v>
      </c>
      <c r="H495" t="str">
        <v>VILLALBA</v>
      </c>
      <c r="I495" t="str">
        <v>ACEPTADO</v>
      </c>
      <c r="J495" t="str">
        <v>PARANÁ</v>
      </c>
      <c r="K495" t="str">
        <v>PAMI</v>
      </c>
      <c r="L495">
        <v>0</v>
      </c>
    </row>
    <row r="496" spans="2:12" x14ac:dyDescent="0.25">
      <c r="B496" s="20">
        <v>45429</v>
      </c>
      <c r="C496" t="str">
        <v>MODENUTTI CELSO</v>
      </c>
      <c r="D496">
        <v>79</v>
      </c>
      <c r="E496" t="str">
        <v>STOPELLO</v>
      </c>
      <c r="F496" t="str">
        <v>GONARTROSIS</v>
      </c>
      <c r="G496" t="str">
        <v xml:space="preserve">PTR </v>
      </c>
      <c r="H496" t="str">
        <v>VILLALBA</v>
      </c>
      <c r="I496" t="str">
        <v>ACEPTADO</v>
      </c>
      <c r="J496" t="str">
        <v>PARANÁ</v>
      </c>
      <c r="K496" t="str">
        <v>PAMI</v>
      </c>
      <c r="L496">
        <v>0</v>
      </c>
    </row>
    <row r="497" spans="2:12" x14ac:dyDescent="0.25">
      <c r="B497" s="20">
        <v>45429</v>
      </c>
      <c r="C497" t="str">
        <v>FLORES JOSE</v>
      </c>
      <c r="D497">
        <v>67</v>
      </c>
      <c r="E497" t="str">
        <v>YACOMO</v>
      </c>
      <c r="F497" t="str">
        <v>GONARTROSIS</v>
      </c>
      <c r="G497" t="str">
        <v>PTR</v>
      </c>
      <c r="H497" t="str">
        <v>VILLALBA</v>
      </c>
      <c r="I497" t="str">
        <v>ACEPTADO</v>
      </c>
      <c r="J497" t="str">
        <v>PARANÁ</v>
      </c>
      <c r="K497" t="str">
        <v>PAMI</v>
      </c>
      <c r="L497">
        <v>0</v>
      </c>
    </row>
    <row r="498" spans="2:12" x14ac:dyDescent="0.25">
      <c r="B498" s="20">
        <v>45429</v>
      </c>
      <c r="C498" t="str">
        <v>NUÑEZ ROSALINDA</v>
      </c>
      <c r="D498">
        <v>74</v>
      </c>
      <c r="E498" t="str">
        <v>SUKSDORF</v>
      </c>
      <c r="F498" t="str">
        <v>FX TOBILLO</v>
      </c>
      <c r="G498" t="str">
        <v>TORNILLOS MODULARES</v>
      </c>
      <c r="H498" t="str">
        <v>VILLALBA</v>
      </c>
      <c r="I498" t="str">
        <v>ACEPTADO</v>
      </c>
      <c r="J498" t="str">
        <v>PARANÁ</v>
      </c>
      <c r="K498" t="str">
        <v>PAMI</v>
      </c>
      <c r="L498">
        <v>0</v>
      </c>
    </row>
    <row r="499" spans="2:12" x14ac:dyDescent="0.25">
      <c r="B499" s="20">
        <v>45433</v>
      </c>
      <c r="C499" t="str">
        <v>GAREIS MIGUEL</v>
      </c>
      <c r="D499">
        <v>72</v>
      </c>
      <c r="E499" t="str">
        <v>CESAR MEYNET</v>
      </c>
      <c r="F499" t="str">
        <v>GENUVALGO</v>
      </c>
      <c r="G499" t="str">
        <v>PTR</v>
      </c>
      <c r="H499" t="str">
        <v>VILLALBA</v>
      </c>
      <c r="I499" t="str">
        <v>ACEPTADO</v>
      </c>
      <c r="J499" t="str">
        <v>PARANÁ</v>
      </c>
      <c r="K499" t="str">
        <v>PAMI</v>
      </c>
      <c r="L499">
        <v>0</v>
      </c>
    </row>
    <row r="500" spans="2:12" x14ac:dyDescent="0.25">
      <c r="B500" s="20">
        <v>45433</v>
      </c>
      <c r="C500" t="str">
        <v>COMAR NELSON</v>
      </c>
      <c r="D500">
        <v>89</v>
      </c>
      <c r="E500" t="str">
        <v>COLLOMB</v>
      </c>
      <c r="F500" t="str">
        <v>FX CADERA</v>
      </c>
      <c r="G500" t="str">
        <v>CLAVO GAMMA</v>
      </c>
      <c r="H500">
        <v>0</v>
      </c>
      <c r="I500" t="str">
        <v>ACEPTADO</v>
      </c>
      <c r="J500" t="str">
        <v>PARANÁ</v>
      </c>
      <c r="K500" t="str">
        <v>PAMI</v>
      </c>
      <c r="L500">
        <v>0</v>
      </c>
    </row>
    <row r="501" spans="2:12" x14ac:dyDescent="0.25">
      <c r="B501" s="20">
        <v>45433</v>
      </c>
      <c r="C501" t="str">
        <v>GAREIS TERESA</v>
      </c>
      <c r="D501">
        <v>75</v>
      </c>
      <c r="E501" t="str">
        <v>SUKSDORF</v>
      </c>
      <c r="F501" t="str">
        <v>GONARTROSIS</v>
      </c>
      <c r="G501" t="str">
        <v>PTR PRIMARIA ANDROMICA</v>
      </c>
      <c r="H501" t="str">
        <v>VILLALBA</v>
      </c>
      <c r="I501" t="str">
        <v>ACEPTADO</v>
      </c>
      <c r="J501" t="str">
        <v>DIAMANTE</v>
      </c>
      <c r="K501" t="str">
        <v>PAMI</v>
      </c>
      <c r="L501">
        <v>0</v>
      </c>
    </row>
    <row r="502" spans="2:12" x14ac:dyDescent="0.25">
      <c r="B502" s="20">
        <v>45434</v>
      </c>
      <c r="C502" t="str">
        <v>FRANCO ALICIA</v>
      </c>
      <c r="D502">
        <v>96</v>
      </c>
      <c r="E502" t="str">
        <v>CASERES</v>
      </c>
      <c r="F502" t="str">
        <v>FX CADERA</v>
      </c>
      <c r="G502" t="str">
        <v>CLAVO GAMMA</v>
      </c>
      <c r="H502" t="str">
        <v>VILLALBA</v>
      </c>
      <c r="I502" t="str">
        <v>ACEPTADO</v>
      </c>
      <c r="J502" t="str">
        <v>PARANÁ</v>
      </c>
      <c r="K502" t="str">
        <v>PAMI</v>
      </c>
      <c r="L502">
        <v>0</v>
      </c>
    </row>
    <row r="503" spans="2:12" x14ac:dyDescent="0.25">
      <c r="B503" s="20">
        <v>45434</v>
      </c>
      <c r="C503" t="str">
        <v>ROCCOSALVO NOEMI</v>
      </c>
      <c r="D503">
        <v>83</v>
      </c>
      <c r="E503" t="str">
        <v>CASERES</v>
      </c>
      <c r="F503" t="str">
        <v>FX CADERA</v>
      </c>
      <c r="G503" t="str">
        <v>CLAVO GAMMA</v>
      </c>
      <c r="H503">
        <v>0</v>
      </c>
      <c r="I503" t="str">
        <v>ACEPTADO</v>
      </c>
      <c r="J503" t="str">
        <v>PARANÁ</v>
      </c>
      <c r="K503" t="str">
        <v>PAMI</v>
      </c>
      <c r="L503">
        <v>0</v>
      </c>
    </row>
    <row r="504" spans="2:12" x14ac:dyDescent="0.25">
      <c r="B504" s="20">
        <v>45434</v>
      </c>
      <c r="C504" t="str">
        <v>CAPURRO HILDA</v>
      </c>
      <c r="D504">
        <v>68</v>
      </c>
      <c r="E504" t="str">
        <v>JACOB</v>
      </c>
      <c r="F504" t="str">
        <v>ESPONDIOLISTESIS</v>
      </c>
      <c r="G504" t="str">
        <v xml:space="preserve">  SIST DE FIJACION LUMBAR</v>
      </c>
      <c r="H504">
        <v>0</v>
      </c>
      <c r="I504" t="str">
        <v>ACEPTADO</v>
      </c>
      <c r="J504" t="str">
        <v>PARANÁ</v>
      </c>
      <c r="K504" t="str">
        <v>PAMI</v>
      </c>
      <c r="L504">
        <v>0</v>
      </c>
    </row>
    <row r="505" spans="2:12" x14ac:dyDescent="0.25">
      <c r="B505" s="20">
        <v>45434</v>
      </c>
      <c r="C505" t="str">
        <v>CASTRO ANA</v>
      </c>
      <c r="D505">
        <v>88</v>
      </c>
      <c r="E505" t="str">
        <v>CASERES</v>
      </c>
      <c r="F505" t="str">
        <v>FX CADERA</v>
      </c>
      <c r="G505" t="str">
        <v>CLAVO GAMMA</v>
      </c>
      <c r="H505">
        <v>0</v>
      </c>
      <c r="I505" t="str">
        <v>ACEPTADO</v>
      </c>
      <c r="J505" t="str">
        <v>PARANÁ</v>
      </c>
      <c r="K505" t="str">
        <v>PAMI</v>
      </c>
      <c r="L505">
        <v>0</v>
      </c>
    </row>
    <row r="506" spans="2:12" x14ac:dyDescent="0.25">
      <c r="B506" s="20">
        <v>45436</v>
      </c>
      <c r="C506" t="str">
        <v>AGUIAR ELDA</v>
      </c>
      <c r="D506">
        <v>84</v>
      </c>
      <c r="E506" t="str">
        <v>CASERES</v>
      </c>
      <c r="F506" t="str">
        <v>FX DE CADERA</v>
      </c>
      <c r="G506" t="str">
        <v>P PARCIAL DE CAD BIPOLAR</v>
      </c>
      <c r="H506">
        <v>0</v>
      </c>
      <c r="I506" t="str">
        <v>ACEPTADO</v>
      </c>
      <c r="J506" t="str">
        <v>PARANÁ</v>
      </c>
      <c r="K506" t="str">
        <v>PAMI</v>
      </c>
      <c r="L506">
        <v>0</v>
      </c>
    </row>
    <row r="507" spans="2:12" x14ac:dyDescent="0.25">
      <c r="B507" s="20">
        <v>45437</v>
      </c>
      <c r="C507" t="str">
        <v>RAMIREZ SUSANA</v>
      </c>
      <c r="D507">
        <v>57</v>
      </c>
      <c r="E507" t="str">
        <v>JACOB</v>
      </c>
      <c r="F507" t="str">
        <v>ESTENOSIS</v>
      </c>
      <c r="G507" t="str">
        <v>4 TORNILLOSPEDICULARES 1 CAGE 2 BARRAS 1 DOSIS DE SUSTITUTO</v>
      </c>
      <c r="H507">
        <v>0</v>
      </c>
      <c r="I507" t="str">
        <v>ACEPTADO</v>
      </c>
      <c r="J507" t="str">
        <v>COLONIA AVE</v>
      </c>
      <c r="K507" t="str">
        <v>S/M</v>
      </c>
      <c r="L507">
        <v>0</v>
      </c>
    </row>
    <row r="508" spans="2:12" x14ac:dyDescent="0.25">
      <c r="B508" s="20">
        <v>45438</v>
      </c>
      <c r="C508" t="str">
        <v>CABRERA EXEQUIEL</v>
      </c>
      <c r="D508">
        <v>41</v>
      </c>
      <c r="E508" t="str">
        <v>YACOMO</v>
      </c>
      <c r="F508" t="str">
        <v>PSEUDOARTROSIS DE TIBIA</v>
      </c>
      <c r="G508">
        <v>0</v>
      </c>
      <c r="H508" t="str">
        <v>6 SCHANZ 4 BARRAS DE TUTOR 6 ROTULAS 4 ROT. TUBO IGERTO C</v>
      </c>
      <c r="I508" t="str">
        <v>ACEPTADO</v>
      </c>
      <c r="J508">
        <v>0</v>
      </c>
      <c r="K508" t="str">
        <v>S/M</v>
      </c>
      <c r="L508">
        <v>0</v>
      </c>
    </row>
    <row r="509" spans="2:12" x14ac:dyDescent="0.25">
      <c r="B509" s="20">
        <v>45443</v>
      </c>
      <c r="C509" t="str">
        <v>ANTUNES MIRTHA</v>
      </c>
      <c r="D509">
        <v>68</v>
      </c>
      <c r="E509" t="str">
        <v>THEAUX</v>
      </c>
      <c r="F509" t="str">
        <v>HALLUX VALGUS</v>
      </c>
      <c r="G509" t="str">
        <v>PLACAS Y TORNILLOS 2 T HERBERT 2 CLAVIJA</v>
      </c>
      <c r="H509">
        <v>0</v>
      </c>
      <c r="I509" t="str">
        <v>ACEPTADO</v>
      </c>
      <c r="J509" t="str">
        <v>PARANÁ</v>
      </c>
      <c r="K509" t="str">
        <v>PAMI</v>
      </c>
      <c r="L509">
        <v>0</v>
      </c>
    </row>
    <row r="510" spans="2:12" x14ac:dyDescent="0.25">
      <c r="B510" s="20">
        <v>45443</v>
      </c>
      <c r="C510" t="str">
        <v>VAZQUEZ MIGUEL</v>
      </c>
      <c r="D510">
        <v>61</v>
      </c>
      <c r="E510" t="str">
        <v>STOPELLO</v>
      </c>
      <c r="F510" t="str">
        <v>GONARTROSIS</v>
      </c>
      <c r="G510" t="str">
        <v>PTR DERECHA</v>
      </c>
      <c r="H510" t="str">
        <v>VILLALBA</v>
      </c>
      <c r="I510" t="str">
        <v>ACEPTADO</v>
      </c>
      <c r="J510" t="str">
        <v>PARANÁ</v>
      </c>
      <c r="K510" t="str">
        <v>PAMI</v>
      </c>
      <c r="L510">
        <v>0</v>
      </c>
    </row>
    <row r="511" spans="2:12" x14ac:dyDescent="0.25">
      <c r="B511" s="20">
        <v>45443</v>
      </c>
      <c r="C511" t="str">
        <v>SEINECKER MIRTA</v>
      </c>
      <c r="D511">
        <v>74</v>
      </c>
      <c r="E511" t="str">
        <v>GARCIA VITOR</v>
      </c>
      <c r="F511" t="str">
        <v>GENU VARU</v>
      </c>
      <c r="G511" t="str">
        <v>PTR</v>
      </c>
      <c r="H511">
        <v>0</v>
      </c>
      <c r="I511" t="str">
        <v>ACEPTADO</v>
      </c>
      <c r="J511" t="str">
        <v>PARANÁ</v>
      </c>
      <c r="K511" t="str">
        <v>PAMI</v>
      </c>
      <c r="L511">
        <v>0</v>
      </c>
    </row>
    <row r="512" spans="2:12" x14ac:dyDescent="0.25">
      <c r="B512" s="20">
        <v>45443</v>
      </c>
      <c r="C512" t="str">
        <v>FARIAS CANDIDO</v>
      </c>
      <c r="D512">
        <v>68</v>
      </c>
      <c r="E512" t="str">
        <v>CATRIEL GODOY</v>
      </c>
      <c r="F512" t="str">
        <v>SIND MANG ROT</v>
      </c>
      <c r="G512" t="str">
        <v>2 ARPONES 2,5</v>
      </c>
      <c r="H512" t="str">
        <v>VILLALBA</v>
      </c>
      <c r="I512" t="str">
        <v>ACEPTADO</v>
      </c>
      <c r="J512" t="str">
        <v>PARANÁ</v>
      </c>
      <c r="K512" t="str">
        <v>PAMI</v>
      </c>
      <c r="L512">
        <v>0</v>
      </c>
    </row>
    <row r="513" spans="2:12" x14ac:dyDescent="0.25">
      <c r="B513" s="20">
        <v>45443</v>
      </c>
      <c r="C513" t="str">
        <v>GONZALEZ ELISA</v>
      </c>
      <c r="D513">
        <v>68</v>
      </c>
      <c r="E513" t="str">
        <v>SUKSDORF</v>
      </c>
      <c r="F513" t="str">
        <v>FX CADERA</v>
      </c>
      <c r="G513" t="str">
        <v>PTC BIPOLAR- PTC CEMENTADA</v>
      </c>
      <c r="H513">
        <v>0</v>
      </c>
      <c r="I513" t="str">
        <v>ACEPTADO</v>
      </c>
      <c r="J513" t="str">
        <v>PARANÁ</v>
      </c>
      <c r="K513" t="str">
        <v>PAMI</v>
      </c>
      <c r="L513">
        <v>0</v>
      </c>
    </row>
    <row r="514" spans="2:12" x14ac:dyDescent="0.25">
      <c r="B514" s="20">
        <v>45443</v>
      </c>
      <c r="C514" t="str">
        <v>BRONDANI NELIDA</v>
      </c>
      <c r="D514">
        <v>77</v>
      </c>
      <c r="E514" t="str">
        <v>STOPELLO</v>
      </c>
      <c r="F514" t="str">
        <v>COXARTROSIS</v>
      </c>
      <c r="G514" t="str">
        <v>PTC PRIMARIA DERECHA</v>
      </c>
      <c r="H514" t="str">
        <v>VILLALBA</v>
      </c>
      <c r="I514" t="str">
        <v>ACEPTADO</v>
      </c>
      <c r="J514" t="str">
        <v>PARANÁ</v>
      </c>
      <c r="K514" t="str">
        <v>PAMI</v>
      </c>
      <c r="L514">
        <v>0</v>
      </c>
    </row>
    <row r="515" spans="2:12" x14ac:dyDescent="0.25">
      <c r="B515" s="20">
        <v>45443</v>
      </c>
      <c r="C515" t="str">
        <v>PRINCICH ELADIA</v>
      </c>
      <c r="D515">
        <v>76</v>
      </c>
      <c r="E515" t="str">
        <v>CASERES</v>
      </c>
      <c r="F515" t="str">
        <v>FX CADERA D</v>
      </c>
      <c r="G515" t="str">
        <v xml:space="preserve">PTC COTILO DOBLE M    </v>
      </c>
      <c r="H515">
        <v>0</v>
      </c>
      <c r="I515" t="str">
        <v>ACEPTADO</v>
      </c>
      <c r="J515" t="str">
        <v>PARANÁ</v>
      </c>
      <c r="K515" t="str">
        <v>PAMI</v>
      </c>
      <c r="L515">
        <v>0</v>
      </c>
    </row>
    <row r="516" spans="2:12" x14ac:dyDescent="0.25">
      <c r="B516" s="20">
        <v>45446</v>
      </c>
      <c r="C516" t="str">
        <v>RUIZ DIAZ DIONISIO</v>
      </c>
      <c r="D516">
        <v>66</v>
      </c>
      <c r="E516" t="str">
        <v>GARCIA VITOR</v>
      </c>
      <c r="F516">
        <v>0</v>
      </c>
      <c r="G516" t="str">
        <v>PTR CON CUÑAS Y V DE REV</v>
      </c>
      <c r="H516">
        <v>0</v>
      </c>
      <c r="I516" t="str">
        <v>ACEPTADO</v>
      </c>
      <c r="J516" t="str">
        <v>SAN SALVADOR</v>
      </c>
      <c r="K516" t="str">
        <v>PAMI</v>
      </c>
      <c r="L516">
        <v>0</v>
      </c>
    </row>
    <row r="517" spans="2:12" x14ac:dyDescent="0.25">
      <c r="B517" s="20">
        <v>45446</v>
      </c>
      <c r="C517" t="str">
        <v xml:space="preserve">FLORES PEDRO </v>
      </c>
      <c r="D517">
        <v>66</v>
      </c>
      <c r="E517" t="str">
        <v>GARCIA VITOR</v>
      </c>
      <c r="F517" t="str">
        <v>ART RODILLA IZQ</v>
      </c>
      <c r="G517" t="str">
        <v>PTR IZQUIERDA</v>
      </c>
      <c r="H517">
        <v>0</v>
      </c>
      <c r="I517" t="str">
        <v>ACEPTADO</v>
      </c>
      <c r="J517" t="str">
        <v>VICTORIA</v>
      </c>
      <c r="K517" t="str">
        <v>PAMI</v>
      </c>
      <c r="L517">
        <v>0</v>
      </c>
    </row>
    <row r="518" spans="2:12" x14ac:dyDescent="0.25">
      <c r="B518" s="20">
        <v>45446</v>
      </c>
      <c r="C518" t="str">
        <v xml:space="preserve">BELCH MARIA </v>
      </c>
      <c r="D518">
        <v>72</v>
      </c>
      <c r="E518" t="str">
        <v>GARCIA VITOR</v>
      </c>
      <c r="F518" t="str">
        <v>COXARTROSIS</v>
      </c>
      <c r="G518" t="str">
        <v>PTC DOBLE MOVILIDAD</v>
      </c>
      <c r="H518">
        <v>0</v>
      </c>
      <c r="I518" t="str">
        <v>ACEPTADO</v>
      </c>
      <c r="J518" t="str">
        <v xml:space="preserve">MARIA GRANDE </v>
      </c>
      <c r="K518" t="str">
        <v>PAMI</v>
      </c>
      <c r="L518">
        <v>0</v>
      </c>
    </row>
    <row r="519" spans="2:12" x14ac:dyDescent="0.25">
      <c r="B519" s="20">
        <v>45448</v>
      </c>
      <c r="C519" t="str">
        <v>FERREYRA BRIGIDA</v>
      </c>
      <c r="D519">
        <v>77</v>
      </c>
      <c r="E519" t="str">
        <v xml:space="preserve">URANGA </v>
      </c>
      <c r="F519" t="str">
        <v>ESPONDIOLISTESIS</v>
      </c>
      <c r="G519" t="str">
        <v>SIST DE FIJACION LUMBO S</v>
      </c>
      <c r="H519">
        <v>0</v>
      </c>
      <c r="I519" t="str">
        <v>ACEPTADO</v>
      </c>
      <c r="J519" t="str">
        <v>PARANÁ</v>
      </c>
      <c r="K519" t="str">
        <v>PAMI</v>
      </c>
      <c r="L519">
        <v>0</v>
      </c>
    </row>
    <row r="520" spans="2:12" x14ac:dyDescent="0.25">
      <c r="B520" s="20">
        <v>45450</v>
      </c>
      <c r="C520" t="str">
        <v>URRUTIA LUIS</v>
      </c>
      <c r="D520">
        <v>64</v>
      </c>
      <c r="E520" t="str">
        <v>CESAR MEYNET</v>
      </c>
      <c r="F520" t="str">
        <v>COXARTROSIS</v>
      </c>
      <c r="G520" t="str">
        <v>PTCCOTILO MULTIPERFOR</v>
      </c>
      <c r="H520">
        <v>0</v>
      </c>
      <c r="I520" t="str">
        <v>ACEPTADO</v>
      </c>
      <c r="J520" t="str">
        <v xml:space="preserve">HERNANDARIAS </v>
      </c>
      <c r="K520" t="str">
        <v>S/M</v>
      </c>
      <c r="L520">
        <v>0</v>
      </c>
    </row>
    <row r="521" spans="2:12" x14ac:dyDescent="0.25">
      <c r="B521" s="20">
        <v>45450</v>
      </c>
      <c r="C521" t="str">
        <v>SAUCEDO PETRONA</v>
      </c>
      <c r="D521">
        <v>68</v>
      </c>
      <c r="E521" t="str">
        <v>CESAR MEYNET</v>
      </c>
      <c r="F521" t="str">
        <v>COXARTROSIS</v>
      </c>
      <c r="G521" t="str">
        <v>ESPACIADOR</v>
      </c>
      <c r="H521" t="str">
        <v>VILLALBA</v>
      </c>
      <c r="I521" t="str">
        <v>ACEPTADO</v>
      </c>
      <c r="J521" t="str">
        <v>PARANÁ</v>
      </c>
      <c r="K521" t="str">
        <v>PAMI</v>
      </c>
      <c r="L521">
        <v>0</v>
      </c>
    </row>
    <row r="522" spans="2:12" x14ac:dyDescent="0.25">
      <c r="B522" s="20">
        <v>45450</v>
      </c>
      <c r="C522" t="str">
        <v>SOSA CLAUDIA</v>
      </c>
      <c r="D522">
        <v>69</v>
      </c>
      <c r="E522" t="str">
        <v>CESAR MEYNET</v>
      </c>
      <c r="F522" t="str">
        <v>GENUVARO</v>
      </c>
      <c r="G522" t="str">
        <v>PTR</v>
      </c>
      <c r="H522">
        <v>0</v>
      </c>
      <c r="I522" t="str">
        <v>ACEPTADO</v>
      </c>
      <c r="J522" t="str">
        <v>PARANÁ</v>
      </c>
      <c r="K522" t="str">
        <v>PAMI</v>
      </c>
      <c r="L522">
        <v>0</v>
      </c>
    </row>
    <row r="523" spans="2:12" x14ac:dyDescent="0.25">
      <c r="B523" s="20">
        <v>45450</v>
      </c>
      <c r="C523" t="str">
        <v>VELAZQUEZ RICARDO</v>
      </c>
      <c r="D523">
        <v>66</v>
      </c>
      <c r="E523" t="str">
        <v xml:space="preserve">URANGA </v>
      </c>
      <c r="F523" t="str">
        <v>FX DE CADERA</v>
      </c>
      <c r="G523" t="str">
        <v>PTC COTILO DOBLE M</v>
      </c>
      <c r="H523">
        <v>0</v>
      </c>
      <c r="I523" t="str">
        <v>ACEPTADO</v>
      </c>
      <c r="J523" t="str">
        <v>PARANÁ</v>
      </c>
      <c r="K523" t="str">
        <v>PAMI</v>
      </c>
      <c r="L523">
        <v>0</v>
      </c>
    </row>
    <row r="524" spans="2:12" x14ac:dyDescent="0.25">
      <c r="B524" s="20">
        <v>45453</v>
      </c>
      <c r="C524" t="str">
        <v xml:space="preserve">TORRES NICOLAS </v>
      </c>
      <c r="D524">
        <v>0</v>
      </c>
      <c r="E524" t="str">
        <v>GARCIA VITOR</v>
      </c>
      <c r="F524" t="str">
        <v>OSTEOATRITIS C</v>
      </c>
      <c r="G524" t="str">
        <v>PTC HIBRIDA</v>
      </c>
      <c r="H524">
        <v>0</v>
      </c>
      <c r="I524" t="str">
        <v>ACEPTADO</v>
      </c>
      <c r="J524" t="str">
        <v>SAN BENITO</v>
      </c>
      <c r="K524" t="str">
        <v>PAMI</v>
      </c>
      <c r="L524">
        <v>0</v>
      </c>
    </row>
    <row r="525" spans="2:12" x14ac:dyDescent="0.25">
      <c r="B525" s="20">
        <v>45453</v>
      </c>
      <c r="C525" t="str">
        <v>HEINZE MARIO</v>
      </c>
      <c r="D525">
        <v>75</v>
      </c>
      <c r="E525" t="str">
        <v>YACOMO</v>
      </c>
      <c r="F525" t="str">
        <v>GENUVARO</v>
      </c>
      <c r="G525" t="str">
        <v>PTR IZQUIERDA</v>
      </c>
      <c r="H525" t="str">
        <v>VILLALBA</v>
      </c>
      <c r="I525" t="str">
        <v>ACEPTADO</v>
      </c>
      <c r="J525" t="str">
        <v>VIALE</v>
      </c>
      <c r="K525" t="str">
        <v>PAMI</v>
      </c>
      <c r="L525">
        <v>0</v>
      </c>
    </row>
    <row r="526" spans="2:12" x14ac:dyDescent="0.25">
      <c r="B526" s="20">
        <v>45453</v>
      </c>
      <c r="C526" t="str">
        <v>PLEZ SILVIA</v>
      </c>
      <c r="D526">
        <v>72</v>
      </c>
      <c r="E526" t="str">
        <v>STOPELLO</v>
      </c>
      <c r="F526" t="str">
        <v>COXARTROSIS</v>
      </c>
      <c r="G526" t="str">
        <v>PTC CEMENTADA</v>
      </c>
      <c r="H526" t="str">
        <v>VILLALBA</v>
      </c>
      <c r="I526" t="str">
        <v>ACEPTADO</v>
      </c>
      <c r="J526" t="str">
        <v>SAN BENITO</v>
      </c>
      <c r="K526" t="str">
        <v>PAMI</v>
      </c>
      <c r="L526">
        <v>0</v>
      </c>
    </row>
    <row r="527" spans="2:12" x14ac:dyDescent="0.25">
      <c r="B527" s="20">
        <v>45453</v>
      </c>
      <c r="C527" t="str">
        <v>MANZANO EDUARDO</v>
      </c>
      <c r="D527">
        <v>68</v>
      </c>
      <c r="E527" t="str">
        <v>THEAUX</v>
      </c>
      <c r="F527" t="str">
        <v>FX DE T Y P</v>
      </c>
      <c r="G527" t="str">
        <v xml:space="preserve">PERNOS DE BLOQUEO </v>
      </c>
      <c r="H527">
        <v>0</v>
      </c>
      <c r="I527" t="str">
        <v>ACEPTADO</v>
      </c>
      <c r="J527" t="str">
        <v>PARANÁ</v>
      </c>
      <c r="K527" t="str">
        <v>PAMI</v>
      </c>
      <c r="L527">
        <v>0</v>
      </c>
    </row>
    <row r="528" spans="2:12" x14ac:dyDescent="0.25">
      <c r="B528" s="20">
        <v>45453</v>
      </c>
      <c r="C528" t="str">
        <v>PRESENTADO ISAIAS</v>
      </c>
      <c r="D528">
        <v>0</v>
      </c>
      <c r="E528" t="str">
        <v>VENTURI</v>
      </c>
      <c r="F528" t="str">
        <v>PSEUDOARTROSIS   DE RADIO</v>
      </c>
      <c r="G528" t="str">
        <v xml:space="preserve"> TORN CAN PLACA DCP CLAVIJA </v>
      </c>
      <c r="H528">
        <v>0</v>
      </c>
      <c r="I528" t="str">
        <v>ACEPTADO</v>
      </c>
      <c r="J528" t="str">
        <v>PARANÁ</v>
      </c>
      <c r="K528" t="str">
        <v>S/M</v>
      </c>
      <c r="L528">
        <v>0</v>
      </c>
    </row>
    <row r="529" spans="2:12" x14ac:dyDescent="0.25">
      <c r="B529" s="20">
        <v>45454</v>
      </c>
      <c r="C529" t="str">
        <v>SASIA MARIA DEL ROSARIO</v>
      </c>
      <c r="D529">
        <v>66</v>
      </c>
      <c r="E529" t="str">
        <v>UCEDO</v>
      </c>
      <c r="F529" t="str">
        <v>HALLUX V</v>
      </c>
      <c r="G529">
        <v>0</v>
      </c>
      <c r="H529">
        <v>0</v>
      </c>
      <c r="I529" t="str">
        <v>ACEPTADO</v>
      </c>
      <c r="J529" t="str">
        <v>PARANÁ</v>
      </c>
      <c r="K529" t="str">
        <v>PAMI</v>
      </c>
      <c r="L529">
        <v>0</v>
      </c>
    </row>
    <row r="530" spans="2:12" x14ac:dyDescent="0.25">
      <c r="B530" s="20">
        <v>45455</v>
      </c>
      <c r="C530" t="str">
        <v>GAREIS LUIS</v>
      </c>
      <c r="D530">
        <v>74</v>
      </c>
      <c r="E530" t="str">
        <v>GARCIA VITOR</v>
      </c>
      <c r="F530" t="str">
        <v>GENUVALGO</v>
      </c>
      <c r="G530" t="str">
        <v>PTR</v>
      </c>
      <c r="H530" t="str">
        <v>VILLALBA</v>
      </c>
      <c r="I530" t="str">
        <v>ACEPTADO</v>
      </c>
      <c r="J530" t="str">
        <v>PARANÁ</v>
      </c>
      <c r="K530" t="str">
        <v>PAMI</v>
      </c>
      <c r="L530">
        <v>0</v>
      </c>
    </row>
    <row r="531" spans="2:12" x14ac:dyDescent="0.25">
      <c r="B531" s="20">
        <v>45455</v>
      </c>
      <c r="C531" t="str">
        <v>ENRIQUEZ ELVA</v>
      </c>
      <c r="D531">
        <v>86</v>
      </c>
      <c r="E531" t="str">
        <v>COLLOMB</v>
      </c>
      <c r="F531" t="str">
        <v>FX CADERA</v>
      </c>
      <c r="G531" t="str">
        <v>PTC COTILO DOBLE M</v>
      </c>
      <c r="H531" t="str">
        <v>VILLALBA</v>
      </c>
      <c r="I531" t="str">
        <v>ACEPTADO</v>
      </c>
      <c r="J531" t="str">
        <v>PARANÁ</v>
      </c>
      <c r="K531" t="str">
        <v>PAMI</v>
      </c>
      <c r="L531">
        <v>0</v>
      </c>
    </row>
    <row r="532" spans="2:12" x14ac:dyDescent="0.25">
      <c r="B532" s="20">
        <v>45455</v>
      </c>
      <c r="C532" t="str">
        <v>FARIAS CARMEN</v>
      </c>
      <c r="D532">
        <v>66</v>
      </c>
      <c r="E532" t="str">
        <v>COLLOMB</v>
      </c>
      <c r="F532" t="str">
        <v>FX MUÑECA</v>
      </c>
      <c r="G532" t="str">
        <v>PLACA EDR DOBLE H DISTAL</v>
      </c>
      <c r="H532">
        <v>0</v>
      </c>
      <c r="I532" t="str">
        <v>ACEPTADO</v>
      </c>
      <c r="J532" t="str">
        <v>PARANÁ</v>
      </c>
      <c r="K532" t="str">
        <v>PAMI</v>
      </c>
      <c r="L532">
        <v>0</v>
      </c>
    </row>
    <row r="533" spans="2:12" x14ac:dyDescent="0.25">
      <c r="B533" s="20">
        <v>45455</v>
      </c>
      <c r="C533" t="str">
        <v>RIOS MATIAS</v>
      </c>
      <c r="D533">
        <v>24</v>
      </c>
      <c r="E533" t="str">
        <v>CASERES</v>
      </c>
      <c r="F533" t="str">
        <v>AMPUTACION INFRA</v>
      </c>
      <c r="G533" t="str">
        <v xml:space="preserve">PILON PROTESIS MI </v>
      </c>
      <c r="H533">
        <v>0</v>
      </c>
      <c r="I533" t="str">
        <v>ACEPTADO</v>
      </c>
      <c r="J533" t="str">
        <v>BOVRIL</v>
      </c>
      <c r="K533" t="str">
        <v>S/M</v>
      </c>
      <c r="L533">
        <v>0</v>
      </c>
    </row>
    <row r="534" spans="2:12" x14ac:dyDescent="0.25">
      <c r="B534" s="20">
        <v>45456</v>
      </c>
      <c r="C534" t="str">
        <v>PESOA STELLA MARIS</v>
      </c>
      <c r="D534">
        <v>61</v>
      </c>
      <c r="E534" t="str">
        <v>CASERES</v>
      </c>
      <c r="F534" t="str">
        <v>FX TOBILLO</v>
      </c>
      <c r="G534" t="str">
        <v>T CANULADOS PLAC TTUBO</v>
      </c>
      <c r="H534">
        <v>0</v>
      </c>
      <c r="I534" t="str">
        <v>ACEPTADO</v>
      </c>
      <c r="J534" t="str">
        <v>PARANÁ</v>
      </c>
      <c r="K534" t="str">
        <v>PAMI</v>
      </c>
      <c r="L534">
        <v>0</v>
      </c>
    </row>
    <row r="535" spans="2:12" x14ac:dyDescent="0.25">
      <c r="B535" s="20">
        <v>45456</v>
      </c>
      <c r="C535" t="str">
        <v>SAUCEDO PETRONA</v>
      </c>
      <c r="D535">
        <v>67</v>
      </c>
      <c r="E535" t="str">
        <v>UCEDO</v>
      </c>
      <c r="F535" t="str">
        <v>INFE DE SITIO Q DE CADERA</v>
      </c>
      <c r="G535">
        <v>0</v>
      </c>
      <c r="H535">
        <v>0</v>
      </c>
      <c r="I535" t="str">
        <v>ACEPTADO</v>
      </c>
      <c r="J535" t="str">
        <v>PARANÁ</v>
      </c>
      <c r="K535" t="str">
        <v>PAMI</v>
      </c>
      <c r="L535">
        <v>0</v>
      </c>
    </row>
    <row r="536" spans="2:12" x14ac:dyDescent="0.25">
      <c r="B536" s="20">
        <v>45456</v>
      </c>
      <c r="C536" t="str">
        <v>POHL HUGO</v>
      </c>
      <c r="D536">
        <v>74</v>
      </c>
      <c r="E536" t="str">
        <v>CASERES</v>
      </c>
      <c r="F536" t="str">
        <v>FX CADERA</v>
      </c>
      <c r="G536" t="str">
        <v>CLAVO GAMMA</v>
      </c>
      <c r="H536" t="str">
        <v>VILLALBA</v>
      </c>
      <c r="I536" t="str">
        <v>ACEPTADO</v>
      </c>
      <c r="J536" t="str">
        <v>PARANÁ</v>
      </c>
      <c r="K536" t="str">
        <v>PAMI</v>
      </c>
      <c r="L536">
        <v>0</v>
      </c>
    </row>
    <row r="537" spans="2:12" x14ac:dyDescent="0.25">
      <c r="B537" s="20">
        <v>45456</v>
      </c>
      <c r="C537" t="str">
        <v>REYES RAQUEL</v>
      </c>
      <c r="D537">
        <v>61</v>
      </c>
      <c r="E537" t="str">
        <v>CASERES</v>
      </c>
      <c r="F537" t="str">
        <v>FX CADERA</v>
      </c>
      <c r="G537" t="str">
        <v>CLAVO GAMMA</v>
      </c>
      <c r="H537">
        <v>0</v>
      </c>
      <c r="I537" t="str">
        <v>ACEPTADO</v>
      </c>
      <c r="J537" t="str">
        <v>PARANÁ</v>
      </c>
      <c r="K537" t="str">
        <v>PAMI</v>
      </c>
      <c r="L537">
        <v>0</v>
      </c>
    </row>
    <row r="538" spans="2:12" x14ac:dyDescent="0.25">
      <c r="B538" s="20">
        <v>45461</v>
      </c>
      <c r="C538" t="str">
        <v>DE LORENZO LUISA</v>
      </c>
      <c r="D538">
        <v>89</v>
      </c>
      <c r="E538" t="str">
        <v>COLLOMB</v>
      </c>
      <c r="F538" t="str">
        <v>FX CADERA</v>
      </c>
      <c r="G538" t="str">
        <v>P THOMPSON</v>
      </c>
      <c r="H538" t="str">
        <v>VILLALBA</v>
      </c>
      <c r="I538" t="str">
        <v>ACEPTADO</v>
      </c>
      <c r="J538" t="str">
        <v>PARANÁ</v>
      </c>
      <c r="K538" t="str">
        <v>PAMI</v>
      </c>
      <c r="L538">
        <v>0</v>
      </c>
    </row>
    <row r="539" spans="2:12" x14ac:dyDescent="0.25">
      <c r="B539" s="20">
        <v>45461</v>
      </c>
      <c r="C539" t="str">
        <v>ESPINOSA FANNY</v>
      </c>
      <c r="D539">
        <v>84</v>
      </c>
      <c r="E539" t="str">
        <v>COLLOMB</v>
      </c>
      <c r="F539" t="str">
        <v>FX FEMUR</v>
      </c>
      <c r="G539" t="str">
        <v xml:space="preserve">C ENDOMEDULAR </v>
      </c>
      <c r="H539" t="str">
        <v>VILLALBA</v>
      </c>
      <c r="I539" t="str">
        <v>ACEPTADO</v>
      </c>
      <c r="J539" t="str">
        <v>PARANÁ</v>
      </c>
      <c r="K539" t="str">
        <v>PAMI</v>
      </c>
      <c r="L539">
        <v>0</v>
      </c>
    </row>
    <row r="540" spans="2:12" x14ac:dyDescent="0.25">
      <c r="B540" s="20">
        <v>45462</v>
      </c>
      <c r="C540" t="str">
        <v>HOLOTTE FABIANA</v>
      </c>
      <c r="D540">
        <v>56</v>
      </c>
      <c r="E540" t="str">
        <v>CATRIEL GODOY</v>
      </c>
      <c r="F540" t="str">
        <v>GONARTROSIS</v>
      </c>
      <c r="G540" t="str">
        <v xml:space="preserve">PTR </v>
      </c>
      <c r="H540">
        <v>0</v>
      </c>
      <c r="I540" t="str">
        <v>ACEPTADO</v>
      </c>
      <c r="J540" t="str">
        <v>PARANÁ</v>
      </c>
      <c r="K540" t="str">
        <v>S/M</v>
      </c>
      <c r="L540">
        <v>0</v>
      </c>
    </row>
    <row r="541" spans="2:12" x14ac:dyDescent="0.25">
      <c r="B541" s="20">
        <v>45462</v>
      </c>
      <c r="C541" t="str">
        <v>MAYDANA MARIA ELISA</v>
      </c>
      <c r="D541">
        <v>63</v>
      </c>
      <c r="E541" t="str">
        <v>THEAUX</v>
      </c>
      <c r="F541" t="str">
        <v>GONARTROSIS</v>
      </c>
      <c r="G541" t="str">
        <v>PTR CON VASTAGOS</v>
      </c>
      <c r="H541">
        <v>0</v>
      </c>
      <c r="I541" t="str">
        <v>ACEPTADO</v>
      </c>
      <c r="J541" t="str">
        <v>PARANÁ</v>
      </c>
      <c r="K541" t="str">
        <v>PAMI</v>
      </c>
      <c r="L541">
        <v>0</v>
      </c>
    </row>
    <row r="542" spans="2:12" x14ac:dyDescent="0.25">
      <c r="B542" s="20">
        <v>45462</v>
      </c>
      <c r="C542" t="str">
        <v>RODRIGUEZ PETRONA</v>
      </c>
      <c r="D542">
        <v>85</v>
      </c>
      <c r="E542" t="str">
        <v>CASERES</v>
      </c>
      <c r="F542" t="str">
        <v>FX TOBILLO</v>
      </c>
      <c r="G542" t="str">
        <v>T CANULADOS PLAC TTUBO</v>
      </c>
      <c r="H542">
        <v>0</v>
      </c>
      <c r="I542" t="str">
        <v>ACEPTADO</v>
      </c>
      <c r="J542" t="str">
        <v>PARANÁ</v>
      </c>
      <c r="K542" t="str">
        <v>PAMI</v>
      </c>
      <c r="L542">
        <v>0</v>
      </c>
    </row>
    <row r="543" spans="2:12" x14ac:dyDescent="0.25">
      <c r="B543" s="20">
        <v>45463</v>
      </c>
      <c r="C543" t="str">
        <v>MASCAZZINI AXEL</v>
      </c>
      <c r="D543">
        <v>23</v>
      </c>
      <c r="E543" t="str">
        <v>SUKSDORF</v>
      </c>
      <c r="F543" t="str">
        <v>PSEUDOARTROSIS   DE FEMUR</v>
      </c>
      <c r="G543" t="str">
        <v>SET PLACA CONDILEA PLACA DCP INJERTO OSEO 3 TABLAS OSEAS</v>
      </c>
      <c r="H543">
        <v>0</v>
      </c>
      <c r="I543" t="str">
        <v>ACEPTADO</v>
      </c>
      <c r="J543" t="str">
        <v>PARANÁ</v>
      </c>
      <c r="K543" t="str">
        <v>S/M</v>
      </c>
      <c r="L543">
        <v>0</v>
      </c>
    </row>
    <row r="544" spans="2:12" x14ac:dyDescent="0.25">
      <c r="B544" s="20">
        <v>45468</v>
      </c>
      <c r="C544" t="str">
        <v>RODRIGUEZ PETRONA</v>
      </c>
      <c r="D544">
        <v>85</v>
      </c>
      <c r="E544" t="str">
        <v>CASERES</v>
      </c>
      <c r="F544" t="str">
        <v>FX DE TOBILLO</v>
      </c>
      <c r="G544" t="str">
        <v>T CANULADOS PLAC TTUBO</v>
      </c>
      <c r="H544" t="str">
        <v>VILLALBA</v>
      </c>
      <c r="I544" t="str">
        <v>ACEPTADO</v>
      </c>
      <c r="J544" t="str">
        <v>PARANÁ</v>
      </c>
      <c r="K544" t="str">
        <v>PAMI</v>
      </c>
      <c r="L544">
        <v>0</v>
      </c>
    </row>
    <row r="545" spans="2:12" x14ac:dyDescent="0.25">
      <c r="B545" s="20">
        <v>45468</v>
      </c>
      <c r="C545" t="str">
        <v>IEDRO BEATRIZ</v>
      </c>
      <c r="D545">
        <v>79</v>
      </c>
      <c r="E545" t="str">
        <v>STOPELLO</v>
      </c>
      <c r="F545" t="str">
        <v>COXARTROSIS</v>
      </c>
      <c r="G545" t="str">
        <v>PTC DOB MOV CLAVO DHS</v>
      </c>
      <c r="H545" t="str">
        <v>VILLALBA</v>
      </c>
      <c r="I545" t="str">
        <v>ACEPTADO</v>
      </c>
      <c r="J545" t="str">
        <v>PARANÁ</v>
      </c>
      <c r="K545" t="str">
        <v>PAMI</v>
      </c>
      <c r="L545">
        <v>0</v>
      </c>
    </row>
    <row r="546" spans="2:12" x14ac:dyDescent="0.25">
      <c r="B546" s="20">
        <v>45469</v>
      </c>
      <c r="C546" t="str">
        <v>Godoy Herman Ludmila</v>
      </c>
      <c r="D546">
        <v>21</v>
      </c>
      <c r="E546" t="str">
        <v>GARCIA VITOR</v>
      </c>
      <c r="F546" t="str">
        <v>artrodesis de rodilla</v>
      </c>
      <c r="G546" t="str">
        <v>tutortubular ao</v>
      </c>
      <c r="H546">
        <v>0</v>
      </c>
      <c r="I546" t="str">
        <v>ACEPTADO</v>
      </c>
      <c r="J546" t="str">
        <v>PARANÁ</v>
      </c>
      <c r="K546" t="str">
        <v>S/M</v>
      </c>
      <c r="L546">
        <v>0</v>
      </c>
    </row>
    <row r="547" spans="2:12" x14ac:dyDescent="0.25">
      <c r="B547" s="20">
        <v>45469</v>
      </c>
      <c r="C547" t="str">
        <v>GUERRERO RICARDO</v>
      </c>
      <c r="D547">
        <v>59</v>
      </c>
      <c r="E547" t="str">
        <v>GARCIA VITOR</v>
      </c>
      <c r="F547" t="str">
        <v>GONARTROSIS</v>
      </c>
      <c r="G547" t="str">
        <v>PTR</v>
      </c>
      <c r="H547" t="str">
        <v>IP MAGNA</v>
      </c>
      <c r="I547" t="str">
        <v>ACEPTADO</v>
      </c>
      <c r="J547" t="str">
        <v>PARANÁ</v>
      </c>
      <c r="K547" t="str">
        <v>PAMI</v>
      </c>
      <c r="L547">
        <v>0</v>
      </c>
    </row>
    <row r="548" spans="2:12" x14ac:dyDescent="0.25">
      <c r="B548" s="20">
        <v>45469</v>
      </c>
      <c r="C548" t="str">
        <v>PEREYRA OTILIA</v>
      </c>
      <c r="D548">
        <v>83</v>
      </c>
      <c r="E548" t="str">
        <v>CASERES</v>
      </c>
      <c r="F548" t="str">
        <v>FX CADERA</v>
      </c>
      <c r="G548" t="str">
        <v>P THOMPSON</v>
      </c>
      <c r="H548" t="str">
        <v>VILLALBA</v>
      </c>
      <c r="I548" t="str">
        <v>ACEPTADO</v>
      </c>
      <c r="J548" t="str">
        <v>PARANÁ</v>
      </c>
      <c r="K548" t="str">
        <v>PAMI</v>
      </c>
      <c r="L548">
        <v>0</v>
      </c>
    </row>
    <row r="549" spans="2:12" x14ac:dyDescent="0.25">
      <c r="B549" s="20">
        <v>45469</v>
      </c>
      <c r="C549" t="str">
        <v>SCHECHTEL RICARDO</v>
      </c>
      <c r="D549">
        <v>70</v>
      </c>
      <c r="E549">
        <v>0</v>
      </c>
      <c r="F549" t="str">
        <v>GONARTROSIS</v>
      </c>
      <c r="G549" t="str">
        <v>PTR</v>
      </c>
      <c r="H549" t="str">
        <v>IP MAGNA</v>
      </c>
      <c r="I549" t="str">
        <v>ACEPTADO</v>
      </c>
      <c r="J549" t="str">
        <v>PARANÁ</v>
      </c>
      <c r="K549" t="str">
        <v>PAMI</v>
      </c>
      <c r="L549">
        <v>0</v>
      </c>
    </row>
    <row r="550" spans="2:12" x14ac:dyDescent="0.25">
      <c r="B550" s="20">
        <v>45469</v>
      </c>
      <c r="C550" t="str">
        <v>VIOLA IRIS</v>
      </c>
      <c r="D550">
        <v>69</v>
      </c>
      <c r="E550" t="str">
        <v>UCEDO</v>
      </c>
      <c r="F550" t="str">
        <v>HALLUX V</v>
      </c>
      <c r="G550" t="str">
        <v>T BAR CAN 3,0 MOTOR DOS CLAV 2 MM Y 2 DE 1,5 MM</v>
      </c>
      <c r="H550">
        <v>0</v>
      </c>
      <c r="I550" t="str">
        <v>ACEPTADO</v>
      </c>
      <c r="J550" t="str">
        <v>PARANÁ</v>
      </c>
      <c r="K550" t="str">
        <v>PAMI</v>
      </c>
      <c r="L550">
        <v>0</v>
      </c>
    </row>
    <row r="551" spans="2:12" x14ac:dyDescent="0.25">
      <c r="B551" s="20">
        <v>45469</v>
      </c>
      <c r="C551" t="str">
        <v>JACOB OMAR</v>
      </c>
      <c r="D551">
        <v>70</v>
      </c>
      <c r="E551" t="str">
        <v>STOPELLO</v>
      </c>
      <c r="F551" t="str">
        <v>COXARTROSIS</v>
      </c>
      <c r="G551" t="str">
        <v>ESPACIADOR</v>
      </c>
      <c r="H551" t="str">
        <v>VILLALBA</v>
      </c>
      <c r="I551" t="str">
        <v>ACEPTADO</v>
      </c>
      <c r="J551" t="str">
        <v>PARANÁ</v>
      </c>
      <c r="K551" t="str">
        <v>PAMI</v>
      </c>
      <c r="L551">
        <v>0</v>
      </c>
    </row>
    <row r="552" spans="2:12" x14ac:dyDescent="0.25">
      <c r="B552" s="20">
        <v>45471</v>
      </c>
      <c r="C552" t="str">
        <v>BREGAND TERESITA</v>
      </c>
      <c r="D552">
        <v>85</v>
      </c>
      <c r="E552" t="str">
        <v>CASERES</v>
      </c>
      <c r="F552" t="str">
        <v>FX TOBILLO</v>
      </c>
      <c r="G552" t="str">
        <v>T CANU 3,5 4,0 4,5 PLCA TTU</v>
      </c>
      <c r="H552" t="str">
        <v>VILLALBA</v>
      </c>
      <c r="I552" t="str">
        <v>ACEPTADO</v>
      </c>
      <c r="J552" t="str">
        <v>PARANÁ</v>
      </c>
      <c r="K552" t="str">
        <v>PAMI</v>
      </c>
      <c r="L552">
        <v>0</v>
      </c>
    </row>
    <row r="553" spans="2:12" x14ac:dyDescent="0.25">
      <c r="B553" s="20">
        <v>45471</v>
      </c>
      <c r="C553" t="str">
        <v>GOMEZ AMALIA</v>
      </c>
      <c r="D553">
        <v>54</v>
      </c>
      <c r="E553" t="str">
        <v>SUKSDORF</v>
      </c>
      <c r="F553" t="str">
        <v>COXARTROSIS</v>
      </c>
      <c r="G553" t="str">
        <v>PTC NO CEMENTADA CAB 32 Y 36</v>
      </c>
      <c r="H553">
        <v>0</v>
      </c>
      <c r="I553" t="str">
        <v>ACEPTADO</v>
      </c>
      <c r="J553" t="str">
        <v>PARANÁ</v>
      </c>
      <c r="K553" t="str">
        <v>PAMI</v>
      </c>
      <c r="L553">
        <v>0</v>
      </c>
    </row>
    <row r="554" spans="2:12" x14ac:dyDescent="0.25">
      <c r="B554" s="20">
        <v>45471</v>
      </c>
      <c r="C554" t="str">
        <v>FONTANA CARLOS</v>
      </c>
      <c r="D554">
        <v>65</v>
      </c>
      <c r="E554" t="str">
        <v>GARCIA VITOR</v>
      </c>
      <c r="F554" t="str">
        <v>LCA</v>
      </c>
      <c r="G554" t="str">
        <v>BOTON A T T ROSCA ROMA</v>
      </c>
      <c r="H554">
        <v>0</v>
      </c>
      <c r="I554" t="str">
        <v>ACEPTADO</v>
      </c>
      <c r="J554" t="str">
        <v>PARANÁ</v>
      </c>
      <c r="K554" t="str">
        <v>PAMI</v>
      </c>
      <c r="L554">
        <v>0</v>
      </c>
    </row>
    <row r="555" spans="2:12" x14ac:dyDescent="0.25">
      <c r="B555" s="20">
        <v>45471</v>
      </c>
      <c r="C555" t="str">
        <v>PEREYRA JULIO</v>
      </c>
      <c r="D555">
        <v>76</v>
      </c>
      <c r="E555" t="str">
        <v>GARCIA VITOR</v>
      </c>
      <c r="F555" t="str">
        <v>COXARTROSIS</v>
      </c>
      <c r="G555" t="str">
        <v>PTC D DOBLE MOVILIDAD</v>
      </c>
      <c r="H555" t="str">
        <v>VILLALBA</v>
      </c>
      <c r="I555" t="str">
        <v>ACEPTADO</v>
      </c>
      <c r="J555" t="str">
        <v>BOVRIL</v>
      </c>
      <c r="K555" t="str">
        <v>PAMI</v>
      </c>
      <c r="L555">
        <v>0</v>
      </c>
    </row>
    <row r="556" spans="2:12" x14ac:dyDescent="0.25">
      <c r="B556" s="20">
        <v>45481</v>
      </c>
      <c r="C556" t="str">
        <v>GOMEZ MATEO</v>
      </c>
      <c r="D556">
        <v>15</v>
      </c>
      <c r="E556" t="str">
        <v>PELEGRINI</v>
      </c>
      <c r="F556" t="str">
        <v>GENU VALGO</v>
      </c>
      <c r="G556" t="str">
        <v>PLACA PUDDU</v>
      </c>
      <c r="H556">
        <v>0</v>
      </c>
      <c r="I556" t="str">
        <v>ACEPTADO</v>
      </c>
      <c r="J556" t="str">
        <v>GUALEGUAY</v>
      </c>
      <c r="K556" t="str">
        <v>S/M</v>
      </c>
      <c r="L556">
        <v>0</v>
      </c>
    </row>
    <row r="557" spans="2:12" x14ac:dyDescent="0.25">
      <c r="B557" s="20">
        <v>45485</v>
      </c>
      <c r="C557" t="str">
        <v>BEZERRA RICARDO</v>
      </c>
      <c r="D557">
        <v>73</v>
      </c>
      <c r="E557" t="str">
        <v>THEAUX</v>
      </c>
      <c r="F557" t="str">
        <v>GONARTROSIS</v>
      </c>
      <c r="G557" t="str">
        <v>PTR CON VASTAGO TIBIAL</v>
      </c>
      <c r="H557" t="str">
        <v>VILLALBA</v>
      </c>
      <c r="I557" t="str">
        <v>ACEPTADO</v>
      </c>
      <c r="J557" t="str">
        <v>PARANÁ</v>
      </c>
      <c r="K557" t="str">
        <v>PAMI</v>
      </c>
      <c r="L557">
        <v>0</v>
      </c>
    </row>
    <row r="558" spans="2:12" x14ac:dyDescent="0.25">
      <c r="B558" s="20">
        <v>45485</v>
      </c>
      <c r="C558" t="str">
        <v>SCHMIDT JOSE</v>
      </c>
      <c r="D558">
        <v>77</v>
      </c>
      <c r="E558" t="str">
        <v>STOPELLO</v>
      </c>
      <c r="F558" t="str">
        <v>GONARTROSIS</v>
      </c>
      <c r="G558" t="str">
        <v>PTR DERECHA</v>
      </c>
      <c r="H558" t="str">
        <v>VILLALBA</v>
      </c>
      <c r="I558" t="str">
        <v>ACEPTADO</v>
      </c>
      <c r="J558" t="str">
        <v>PARANÁ</v>
      </c>
      <c r="K558" t="str">
        <v>PAMI</v>
      </c>
      <c r="L558">
        <v>0</v>
      </c>
    </row>
    <row r="559" spans="2:12" x14ac:dyDescent="0.25">
      <c r="B559" s="20">
        <v>45485</v>
      </c>
      <c r="C559" t="str">
        <v>DIAZ ESTELA</v>
      </c>
      <c r="D559">
        <v>76</v>
      </c>
      <c r="E559" t="str">
        <v>UCEDO</v>
      </c>
      <c r="F559" t="str">
        <v>FX CADERA</v>
      </c>
      <c r="G559" t="str">
        <v>DESTORNILLADOR</v>
      </c>
      <c r="H559">
        <v>0</v>
      </c>
      <c r="I559" t="str">
        <v>ACEPTADO</v>
      </c>
      <c r="J559" t="str">
        <v>PARANÁ</v>
      </c>
      <c r="K559" t="str">
        <v>PAMI</v>
      </c>
      <c r="L559">
        <v>0</v>
      </c>
    </row>
    <row r="560" spans="2:12" x14ac:dyDescent="0.25">
      <c r="B560" s="20">
        <v>45485</v>
      </c>
      <c r="C560" t="str">
        <v>SANTUCHI MIRTA</v>
      </c>
      <c r="D560">
        <v>74</v>
      </c>
      <c r="E560" t="str">
        <v>NARVAEZ</v>
      </c>
      <c r="F560" t="str">
        <v>FX PERIPROTESICA</v>
      </c>
      <c r="G560">
        <v>0</v>
      </c>
      <c r="H560">
        <v>0</v>
      </c>
      <c r="I560" t="str">
        <v>ACEPTADO</v>
      </c>
      <c r="J560" t="str">
        <v xml:space="preserve">SANTA ELENA </v>
      </c>
      <c r="K560" t="str">
        <v>PAMI</v>
      </c>
      <c r="L560">
        <v>0</v>
      </c>
    </row>
    <row r="561" spans="2:12" x14ac:dyDescent="0.25">
      <c r="B561" s="20">
        <v>45485</v>
      </c>
      <c r="C561" t="str">
        <v>JACOB OMAR</v>
      </c>
      <c r="D561">
        <v>0</v>
      </c>
      <c r="E561" t="str">
        <v>STOPELLO</v>
      </c>
      <c r="F561" t="str">
        <v>COXARTROSIS</v>
      </c>
      <c r="G561" t="str">
        <v>4D DE CEMENTO ESPACIADOR</v>
      </c>
      <c r="H561">
        <v>0</v>
      </c>
      <c r="I561" t="str">
        <v>ACEPTADO</v>
      </c>
      <c r="J561" t="str">
        <v>PARANÁ</v>
      </c>
      <c r="K561" t="str">
        <v>PAMI</v>
      </c>
      <c r="L561">
        <v>0</v>
      </c>
    </row>
    <row r="562" spans="2:12" x14ac:dyDescent="0.25">
      <c r="B562" s="20">
        <v>45488</v>
      </c>
      <c r="C562" t="str">
        <v>NAIVIAT JORGE</v>
      </c>
      <c r="D562">
        <v>68</v>
      </c>
      <c r="E562" t="str">
        <v>COLLOMB</v>
      </c>
      <c r="F562" t="str">
        <v>FX PELVIS</v>
      </c>
      <c r="G562" t="str">
        <v>5PLACAS TOR CORTIC CANULADOS</v>
      </c>
      <c r="H562">
        <v>0</v>
      </c>
      <c r="I562" t="str">
        <v>ACEPTADO</v>
      </c>
      <c r="J562" t="str">
        <v>PARANÁ</v>
      </c>
      <c r="K562" t="str">
        <v>PAMI</v>
      </c>
      <c r="L562">
        <v>0</v>
      </c>
    </row>
    <row r="563" spans="2:12" x14ac:dyDescent="0.25">
      <c r="B563" s="20">
        <v>45490</v>
      </c>
      <c r="C563" t="str">
        <v>ZABALEGUI JOSE MARIA</v>
      </c>
      <c r="D563">
        <v>70</v>
      </c>
      <c r="E563" t="str">
        <v>UCEDO</v>
      </c>
      <c r="F563" t="str">
        <v>PIE PLANO</v>
      </c>
      <c r="G563" t="str">
        <v>2 T CANULADOS 4,5 MM</v>
      </c>
      <c r="H563" t="str">
        <v>VILLALBA</v>
      </c>
      <c r="I563" t="str">
        <v>ACEPTADO</v>
      </c>
      <c r="J563" t="str">
        <v>PARANÁ</v>
      </c>
      <c r="K563" t="str">
        <v>PAMI</v>
      </c>
      <c r="L563">
        <v>0</v>
      </c>
    </row>
    <row r="564" spans="2:12" x14ac:dyDescent="0.25">
      <c r="B564" s="20">
        <v>45490</v>
      </c>
      <c r="C564" t="str">
        <v>GARCIA RUBEN</v>
      </c>
      <c r="D564">
        <v>47</v>
      </c>
      <c r="E564" t="str">
        <v>STOPELLO</v>
      </c>
      <c r="F564" t="str">
        <v>LCA</v>
      </c>
      <c r="G564" t="str">
        <v>1 B FEMORAL 1 T INTERFERENCIAL</v>
      </c>
      <c r="H564">
        <v>0</v>
      </c>
      <c r="I564" t="str">
        <v>ACEPTADO</v>
      </c>
      <c r="J564" t="str">
        <v>PARANÁ</v>
      </c>
      <c r="K564" t="str">
        <v>S/M</v>
      </c>
      <c r="L564">
        <v>0</v>
      </c>
    </row>
    <row r="565" spans="2:12" x14ac:dyDescent="0.25">
      <c r="B565" s="20">
        <v>45490</v>
      </c>
      <c r="C565" t="str">
        <v>VERGARA CARINA</v>
      </c>
      <c r="D565">
        <v>50</v>
      </c>
      <c r="E565" t="str">
        <v>UCEDO</v>
      </c>
      <c r="F565" t="str">
        <v>DESGASTE DE MATERIAL PROTESICO</v>
      </c>
      <c r="G565" t="str">
        <v>CAMBIO DE CONO PARA PR</v>
      </c>
      <c r="H565">
        <v>0</v>
      </c>
      <c r="I565" t="str">
        <v>ACEPTADO</v>
      </c>
      <c r="J565" t="str">
        <v>PARANÁ</v>
      </c>
      <c r="K565" t="str">
        <v>S/M</v>
      </c>
      <c r="L565">
        <v>0</v>
      </c>
    </row>
    <row r="566" spans="2:12" x14ac:dyDescent="0.25">
      <c r="B566" s="20">
        <v>45490</v>
      </c>
      <c r="C566" t="str">
        <v>EMERI NESTOR</v>
      </c>
      <c r="D566">
        <v>60</v>
      </c>
      <c r="E566" t="str">
        <v>SUKSDORF</v>
      </c>
      <c r="F566" t="str">
        <v>GONALGIA</v>
      </c>
      <c r="G566" t="str">
        <v>PTR</v>
      </c>
      <c r="H566">
        <v>0</v>
      </c>
      <c r="I566" t="str">
        <v>ACEPTADO</v>
      </c>
      <c r="J566" t="str">
        <v>PARANÁ</v>
      </c>
      <c r="K566" t="str">
        <v>S/M</v>
      </c>
      <c r="L566">
        <v>0</v>
      </c>
    </row>
    <row r="567" spans="2:12" x14ac:dyDescent="0.25">
      <c r="B567" s="20">
        <v>45490</v>
      </c>
      <c r="C567" t="str">
        <v>PAPINI AMABILA</v>
      </c>
      <c r="D567">
        <v>85</v>
      </c>
      <c r="E567" t="str">
        <v>UCEDO</v>
      </c>
      <c r="F567" t="str">
        <v>FX CADERA</v>
      </c>
      <c r="G567" t="str">
        <v>CLAVO GAMMA</v>
      </c>
      <c r="H567" t="str">
        <v>VILLALBA</v>
      </c>
      <c r="I567" t="str">
        <v>ACEPTADO</v>
      </c>
      <c r="J567" t="str">
        <v xml:space="preserve">SANTA ELENA </v>
      </c>
      <c r="K567" t="str">
        <v>PAMI</v>
      </c>
      <c r="L567">
        <v>0</v>
      </c>
    </row>
    <row r="568" spans="2:12" x14ac:dyDescent="0.25">
      <c r="B568" s="20">
        <v>45490</v>
      </c>
      <c r="C568" t="str">
        <v>CABRERA MAGDALENA</v>
      </c>
      <c r="D568">
        <v>70</v>
      </c>
      <c r="E568" t="str">
        <v>GARCIA VITOR</v>
      </c>
      <c r="F568" t="str">
        <v>GENU VARO</v>
      </c>
      <c r="G568" t="str">
        <v>PTR NACIONAL</v>
      </c>
      <c r="H568" t="str">
        <v>VILLALBA</v>
      </c>
      <c r="I568" t="str">
        <v>ACEPTADO</v>
      </c>
      <c r="J568" t="str">
        <v>PARANÁ</v>
      </c>
      <c r="K568" t="str">
        <v>PAMI</v>
      </c>
      <c r="L568">
        <v>0</v>
      </c>
    </row>
    <row r="569" spans="2:12" x14ac:dyDescent="0.25">
      <c r="B569" s="20">
        <v>45491</v>
      </c>
      <c r="C569" t="str">
        <v xml:space="preserve">CARBONI LUCIA </v>
      </c>
      <c r="D569">
        <v>0</v>
      </c>
      <c r="E569" t="str">
        <v>STOPELLO</v>
      </c>
      <c r="F569" t="str">
        <v>LCA</v>
      </c>
      <c r="G569" t="str">
        <v>1 BOTON 1 TORNILLO I</v>
      </c>
      <c r="H569">
        <v>0</v>
      </c>
      <c r="I569" t="str">
        <v>ACEPTADO</v>
      </c>
      <c r="J569" t="str">
        <v>VICTORIA</v>
      </c>
      <c r="K569" t="str">
        <v>S/M</v>
      </c>
      <c r="L569">
        <v>0</v>
      </c>
    </row>
    <row r="570" spans="2:12" x14ac:dyDescent="0.25">
      <c r="B570" s="20">
        <v>45491</v>
      </c>
      <c r="C570" t="str">
        <v>RUIZ NATALIA</v>
      </c>
      <c r="D570">
        <v>32</v>
      </c>
      <c r="E570" t="str">
        <v>STOPELLO</v>
      </c>
      <c r="F570" t="str">
        <v>LCA</v>
      </c>
      <c r="G570" t="str">
        <v>1 BOTON 1 TORNILLO I</v>
      </c>
      <c r="H570">
        <v>0</v>
      </c>
      <c r="I570" t="str">
        <v>ACEPTADO</v>
      </c>
      <c r="J570" t="str">
        <v>MACIA</v>
      </c>
      <c r="K570" t="str">
        <v>S/M</v>
      </c>
      <c r="L570">
        <v>0</v>
      </c>
    </row>
    <row r="571" spans="2:12" x14ac:dyDescent="0.25">
      <c r="B571" s="20">
        <v>45491</v>
      </c>
      <c r="C571" t="str">
        <v>WELSCH MARTA</v>
      </c>
      <c r="D571">
        <v>79</v>
      </c>
      <c r="E571" t="str">
        <v>SUKSDORF</v>
      </c>
      <c r="F571" t="str">
        <v>COXARTROSIS</v>
      </c>
      <c r="G571" t="str">
        <v>PTC COTILO D MOV</v>
      </c>
      <c r="H571">
        <v>0</v>
      </c>
      <c r="I571" t="str">
        <v>ACEPTADO</v>
      </c>
      <c r="J571" t="str">
        <v>PARANÁ</v>
      </c>
      <c r="K571" t="str">
        <v>PAMI</v>
      </c>
      <c r="L571">
        <v>0</v>
      </c>
    </row>
    <row r="572" spans="2:12" x14ac:dyDescent="0.25">
      <c r="B572" s="20">
        <v>45495</v>
      </c>
      <c r="C572">
        <v>0</v>
      </c>
      <c r="D572">
        <v>45</v>
      </c>
      <c r="E572" t="str">
        <v>PELEGRINI</v>
      </c>
      <c r="F572" t="str">
        <v>LCA</v>
      </c>
      <c r="G572" t="str">
        <v>1 BOTON 1 TORNILLO 1 INMOV</v>
      </c>
      <c r="H572">
        <v>0</v>
      </c>
      <c r="I572" t="str">
        <v>ACEPTADO</v>
      </c>
      <c r="J572" t="str">
        <v>DIAMANTE</v>
      </c>
      <c r="K572" t="str">
        <v>S/M</v>
      </c>
      <c r="L572">
        <v>0</v>
      </c>
    </row>
    <row r="573" spans="2:12" x14ac:dyDescent="0.25">
      <c r="B573" s="20">
        <v>45497</v>
      </c>
      <c r="C573" t="str">
        <v>ESCOUBOUE VICTOR</v>
      </c>
      <c r="D573">
        <v>44</v>
      </c>
      <c r="E573" t="str">
        <v>CATRIEL GODOY</v>
      </c>
      <c r="F573" t="str">
        <v>FX HUMERO</v>
      </c>
      <c r="G573" t="str">
        <v>1 PLACA BLOQUEADA</v>
      </c>
      <c r="H573">
        <v>0</v>
      </c>
      <c r="I573" t="str">
        <v>ACEPTADO</v>
      </c>
      <c r="J573" t="str">
        <v>PARANÁ</v>
      </c>
      <c r="K573" t="str">
        <v>S/M</v>
      </c>
      <c r="L573">
        <v>0</v>
      </c>
    </row>
    <row r="574" spans="2:12" x14ac:dyDescent="0.25">
      <c r="B574" s="20">
        <v>45497</v>
      </c>
      <c r="C574" t="str">
        <v>BAST OLGA LAURA</v>
      </c>
      <c r="D574">
        <v>72</v>
      </c>
      <c r="E574" t="str">
        <v>VENTURI</v>
      </c>
      <c r="F574" t="str">
        <v>FX HUMERO</v>
      </c>
      <c r="G574" t="str">
        <v>1 PLACA PHILO</v>
      </c>
      <c r="H574" t="str">
        <v>VILLALBA</v>
      </c>
      <c r="I574" t="str">
        <v>ACEPTADO</v>
      </c>
      <c r="J574" t="str">
        <v>DIAMANTE</v>
      </c>
      <c r="K574" t="str">
        <v>PAMI</v>
      </c>
      <c r="L574">
        <v>0</v>
      </c>
    </row>
    <row r="575" spans="2:12" x14ac:dyDescent="0.25">
      <c r="B575" s="20">
        <v>45499</v>
      </c>
      <c r="C575" t="str">
        <v>GIUSTI MARIA</v>
      </c>
      <c r="D575">
        <v>71</v>
      </c>
      <c r="E575" t="str">
        <v>VENTURI</v>
      </c>
      <c r="F575" t="str">
        <v xml:space="preserve">FX </v>
      </c>
      <c r="G575" t="str">
        <v>SET DE VERTEBROPLASTIA</v>
      </c>
      <c r="H575" t="str">
        <v>VILLALBA</v>
      </c>
      <c r="I575" t="str">
        <v>ACEPTADO</v>
      </c>
      <c r="J575" t="str">
        <v>PARANÁ</v>
      </c>
      <c r="K575" t="str">
        <v>PAMI</v>
      </c>
      <c r="L575">
        <v>0</v>
      </c>
    </row>
    <row r="576" spans="2:12" x14ac:dyDescent="0.25">
      <c r="B576" s="20">
        <v>45499</v>
      </c>
      <c r="C576" t="str">
        <v>GUTIERREZ BASILIO</v>
      </c>
      <c r="D576">
        <v>65</v>
      </c>
      <c r="E576" t="str">
        <v>SUKSDORF</v>
      </c>
      <c r="F576" t="str">
        <v>GONARTROSIS</v>
      </c>
      <c r="G576" t="str">
        <v>PTR ANDROMICA</v>
      </c>
      <c r="H576">
        <v>0</v>
      </c>
      <c r="I576" t="str">
        <v>ACEPTADO</v>
      </c>
      <c r="J576" t="str">
        <v>PARANÁ</v>
      </c>
      <c r="K576" t="str">
        <v>PAMI</v>
      </c>
      <c r="L576">
        <v>0</v>
      </c>
    </row>
    <row r="577" spans="2:12" x14ac:dyDescent="0.25">
      <c r="B577" s="20">
        <v>45499</v>
      </c>
      <c r="C577" t="str">
        <v>JUMILLA MARIA</v>
      </c>
      <c r="D577">
        <v>68</v>
      </c>
      <c r="E577" t="str">
        <v xml:space="preserve">URANGA </v>
      </c>
      <c r="F577" t="str">
        <v>FX CADERA</v>
      </c>
      <c r="G577" t="str">
        <v>PTC +COTILO D MOV</v>
      </c>
      <c r="H577">
        <v>0</v>
      </c>
      <c r="I577" t="str">
        <v>ACEPTADO</v>
      </c>
      <c r="J577" t="str">
        <v>PARANÁ</v>
      </c>
      <c r="K577" t="str">
        <v>PAMI</v>
      </c>
      <c r="L577">
        <v>0</v>
      </c>
    </row>
    <row r="578" spans="2:12" x14ac:dyDescent="0.25">
      <c r="B578" s="20">
        <v>45499</v>
      </c>
      <c r="C578" t="str">
        <v>BLANCO LIDIA</v>
      </c>
      <c r="D578">
        <v>72</v>
      </c>
      <c r="E578" t="str">
        <v>PELEGRINI</v>
      </c>
      <c r="F578" t="str">
        <v>COXARTROSIS</v>
      </c>
      <c r="G578" t="str">
        <v>PTC CEMENTADA</v>
      </c>
      <c r="H578">
        <v>0</v>
      </c>
      <c r="I578" t="str">
        <v>ACEPTADO</v>
      </c>
      <c r="J578" t="str">
        <v>PARANÁ</v>
      </c>
      <c r="K578" t="str">
        <v>PAMI</v>
      </c>
      <c r="L578">
        <v>0</v>
      </c>
    </row>
    <row r="579" spans="2:12" x14ac:dyDescent="0.25">
      <c r="B579" s="20">
        <v>45503</v>
      </c>
      <c r="C579" t="str">
        <v>VERON RAMON</v>
      </c>
      <c r="D579">
        <v>36</v>
      </c>
      <c r="E579" t="str">
        <v>GARCIA VITOR</v>
      </c>
      <c r="F579" t="str">
        <v>LESION DE TENDON R</v>
      </c>
      <c r="G579" t="str">
        <v>2 ARPONES DE PEEK 3,5 1 TORNILLO 2 ARPONES DE 3,5-5</v>
      </c>
      <c r="H579">
        <v>0</v>
      </c>
      <c r="I579" t="str">
        <v>ACEPTADO</v>
      </c>
      <c r="J579" t="str">
        <v>PARANÁ</v>
      </c>
      <c r="K579" t="str">
        <v>S/M</v>
      </c>
      <c r="L579">
        <v>0</v>
      </c>
    </row>
    <row r="580" spans="2:12" x14ac:dyDescent="0.25">
      <c r="B580" s="20">
        <v>45503</v>
      </c>
      <c r="C580" t="str">
        <v>PIANI ANDRES</v>
      </c>
      <c r="D580">
        <v>49</v>
      </c>
      <c r="E580" t="str">
        <v>CESAR MEYNET</v>
      </c>
      <c r="F580" t="str">
        <v>COXARTROSIS</v>
      </c>
      <c r="G580" t="str">
        <v>PTC 1 COTILO TRABECULADO TALLO CEMENTADO</v>
      </c>
      <c r="H580">
        <v>0</v>
      </c>
      <c r="I580" t="str">
        <v>ACEPTADO</v>
      </c>
      <c r="J580" t="str">
        <v>PARANÁ</v>
      </c>
      <c r="K580" t="str">
        <v>S/M</v>
      </c>
      <c r="L580">
        <v>0</v>
      </c>
    </row>
    <row r="581" spans="2:12" x14ac:dyDescent="0.25">
      <c r="B581" s="20">
        <v>45503</v>
      </c>
      <c r="C581" t="str">
        <v>WILHELM IRMA</v>
      </c>
      <c r="D581">
        <v>85</v>
      </c>
      <c r="E581" t="str">
        <v>VENTURI</v>
      </c>
      <c r="F581" t="str">
        <v>FX DE D12</v>
      </c>
      <c r="G581" t="str">
        <v>2 CEMENTOS DE VERTEBROPLASTIA</v>
      </c>
      <c r="H581">
        <v>0</v>
      </c>
      <c r="I581" t="str">
        <v>ACEPTADO</v>
      </c>
      <c r="J581" t="str">
        <v>PARANÁ</v>
      </c>
      <c r="K581" t="str">
        <v>PAMI</v>
      </c>
      <c r="L581">
        <v>0</v>
      </c>
    </row>
    <row r="582" spans="2:12" x14ac:dyDescent="0.25">
      <c r="B582" s="20">
        <v>45503</v>
      </c>
      <c r="C582" t="str">
        <v>PERALTA IRMA</v>
      </c>
      <c r="D582">
        <v>74</v>
      </c>
      <c r="E582" t="str">
        <v xml:space="preserve">URANGA </v>
      </c>
      <c r="F582" t="str">
        <v>FX CADERA</v>
      </c>
      <c r="G582" t="str">
        <v>PTC BIPOLAR</v>
      </c>
      <c r="H582">
        <v>0</v>
      </c>
      <c r="I582" t="str">
        <v>ACEPTADO</v>
      </c>
      <c r="J582" t="str">
        <v>PARANÁ</v>
      </c>
      <c r="K582" t="str">
        <v>PAMI</v>
      </c>
      <c r="L582">
        <v>0</v>
      </c>
    </row>
    <row r="583" spans="2:12" x14ac:dyDescent="0.25">
      <c r="B583" s="20">
        <v>45503</v>
      </c>
      <c r="C583" t="str">
        <v>BLANCO LIDIA</v>
      </c>
      <c r="D583">
        <v>72</v>
      </c>
      <c r="E583" t="str">
        <v>PELEGRINI</v>
      </c>
      <c r="F583" t="str">
        <v>COXARTROSIS</v>
      </c>
      <c r="G583" t="str">
        <v>PTC CEMENTADA</v>
      </c>
      <c r="H583">
        <v>0</v>
      </c>
      <c r="I583" t="str">
        <v>ACEPTADO</v>
      </c>
      <c r="J583" t="str">
        <v>PARANÁ</v>
      </c>
      <c r="K583" t="str">
        <v>PAMI</v>
      </c>
      <c r="L583">
        <v>0</v>
      </c>
    </row>
    <row r="584" spans="2:12" x14ac:dyDescent="0.25">
      <c r="B584" s="20">
        <v>45503</v>
      </c>
      <c r="C584" t="str">
        <v>RODRIGUEZ LEO</v>
      </c>
      <c r="D584">
        <v>24</v>
      </c>
      <c r="E584" t="str">
        <v>GARCIA VITOR</v>
      </c>
      <c r="F584" t="str">
        <v>FX DE FEMUR</v>
      </c>
      <c r="G584" t="str">
        <v>3 CABEZAS DE BANCO DE CADAVERES 1 PLACA DE RECO CON TORNILLOS</v>
      </c>
      <c r="H584">
        <v>0</v>
      </c>
      <c r="I584" t="str">
        <v>ACEPTADO</v>
      </c>
      <c r="J584" t="str">
        <v>GUALEGUAY</v>
      </c>
      <c r="K584" t="str">
        <v>S/M</v>
      </c>
      <c r="L584">
        <v>0</v>
      </c>
    </row>
    <row r="585" spans="2:12" x14ac:dyDescent="0.25">
      <c r="B585" s="20">
        <v>45503</v>
      </c>
      <c r="C585" t="str">
        <v>KOBS JULIO</v>
      </c>
      <c r="D585">
        <v>0</v>
      </c>
      <c r="E585" t="str">
        <v>GARCIA VITOR</v>
      </c>
      <c r="F585" t="str">
        <v>LUXACION PTC</v>
      </c>
      <c r="G585" t="str">
        <v xml:space="preserve">1 COTILO D MOV </v>
      </c>
      <c r="H585">
        <v>0</v>
      </c>
      <c r="I585" t="str">
        <v>ACEPTADO</v>
      </c>
      <c r="J585" t="str">
        <v>PARANÁ</v>
      </c>
      <c r="K585" t="str">
        <v>S/M</v>
      </c>
      <c r="L585">
        <v>0</v>
      </c>
    </row>
    <row r="586" spans="2:12" x14ac:dyDescent="0.25">
      <c r="B586" s="20">
        <v>45505</v>
      </c>
      <c r="C586" t="str">
        <v>GONZALEZ CLAUDIO</v>
      </c>
      <c r="D586">
        <v>52</v>
      </c>
      <c r="E586" t="str">
        <v>YACOMO</v>
      </c>
      <c r="F586" t="str">
        <v>LCA</v>
      </c>
      <c r="G586" t="str">
        <v>1 BOTON 1 TORNILLO</v>
      </c>
      <c r="H586">
        <v>0</v>
      </c>
      <c r="I586" t="str">
        <v>ACEPTADO</v>
      </c>
      <c r="J586" t="str">
        <v>PARANÁ</v>
      </c>
      <c r="K586" t="str">
        <v>S/M</v>
      </c>
      <c r="L586">
        <v>0</v>
      </c>
    </row>
    <row r="587" spans="2:12" x14ac:dyDescent="0.25">
      <c r="B587" s="20">
        <v>45505</v>
      </c>
      <c r="C587" t="str">
        <v>WERNER SEBASTIAN</v>
      </c>
      <c r="D587">
        <v>28</v>
      </c>
      <c r="E587" t="str">
        <v>YACOMO</v>
      </c>
      <c r="F587" t="str">
        <v>GUIA TIBIAL 1 PASA SUTURA SUTURE LAZO 1 CLAVIJA ROSCADA</v>
      </c>
      <c r="G587">
        <v>0</v>
      </c>
      <c r="H587">
        <v>0</v>
      </c>
      <c r="I587" t="str">
        <v>ACEPTADO</v>
      </c>
      <c r="J587" t="str">
        <v>FEDERAL</v>
      </c>
      <c r="K587" t="str">
        <v>S/M</v>
      </c>
      <c r="L587">
        <v>0</v>
      </c>
    </row>
    <row r="588" spans="2:12" x14ac:dyDescent="0.25">
      <c r="B588" s="20">
        <v>45505</v>
      </c>
      <c r="C588" t="str">
        <v>SLOMP KARINA</v>
      </c>
      <c r="D588">
        <v>54</v>
      </c>
      <c r="E588" t="str">
        <v>STOPELLO</v>
      </c>
      <c r="F588" t="str">
        <v>PTC NO CEMENTADAD</v>
      </c>
      <c r="G588">
        <v>0</v>
      </c>
      <c r="H588">
        <v>0</v>
      </c>
      <c r="I588" t="str">
        <v>ACEPTADO</v>
      </c>
      <c r="J588" t="str">
        <v>LA PAZ</v>
      </c>
      <c r="K588" t="str">
        <v>S/M</v>
      </c>
      <c r="L588">
        <v>0</v>
      </c>
    </row>
    <row r="589" spans="2:12" x14ac:dyDescent="0.25">
      <c r="B589" s="20">
        <v>45505</v>
      </c>
      <c r="C589" t="str">
        <v>ROMERO ELSA</v>
      </c>
      <c r="D589">
        <v>80</v>
      </c>
      <c r="E589" t="str">
        <v>THOMPSOM</v>
      </c>
      <c r="F589" t="str">
        <v>FX HOMBRO</v>
      </c>
      <c r="G589" t="str">
        <v>PTH</v>
      </c>
      <c r="H589" t="str">
        <v>VILLALBA</v>
      </c>
      <c r="I589" t="str">
        <v>ACEPTADO</v>
      </c>
      <c r="J589" t="str">
        <v>PARANÁ</v>
      </c>
      <c r="K589" t="str">
        <v>PAMI</v>
      </c>
      <c r="L589">
        <v>0</v>
      </c>
    </row>
    <row r="590" spans="2:12" x14ac:dyDescent="0.25">
      <c r="B590" s="20">
        <v>45505</v>
      </c>
      <c r="C590" t="str">
        <v>VASQUEZ CLAUDIA</v>
      </c>
      <c r="D590">
        <v>60</v>
      </c>
      <c r="E590" t="str">
        <v xml:space="preserve">URANGA </v>
      </c>
      <c r="F590" t="str">
        <v>HERNIA DE DISCO</v>
      </c>
      <c r="G590" t="str">
        <v>1 CAGE 1 SUSTITUTO 1DRILL1 SET DE SEPARADORES</v>
      </c>
      <c r="H590">
        <v>0</v>
      </c>
      <c r="I590" t="str">
        <v>ACEPTADO</v>
      </c>
      <c r="J590" t="str">
        <v>PARANÁ</v>
      </c>
      <c r="K590" t="str">
        <v>PAMI</v>
      </c>
      <c r="L590">
        <v>0</v>
      </c>
    </row>
    <row r="591" spans="2:12" x14ac:dyDescent="0.25">
      <c r="B591" s="20">
        <v>45505</v>
      </c>
      <c r="C591" t="str">
        <v>CARDONA HUGO</v>
      </c>
      <c r="D591">
        <v>67</v>
      </c>
      <c r="E591" t="str">
        <v>CATRIEL GODOY</v>
      </c>
      <c r="F591" t="str">
        <v>RUPTURA M ROTADOR</v>
      </c>
      <c r="G591" t="str">
        <v xml:space="preserve">2 ARPONES </v>
      </c>
      <c r="H591">
        <v>0</v>
      </c>
      <c r="I591" t="str">
        <v>ACEPTADO</v>
      </c>
      <c r="J591" t="str">
        <v>HASENKAMP</v>
      </c>
      <c r="K591" t="str">
        <v>PAMI</v>
      </c>
      <c r="L591">
        <v>0</v>
      </c>
    </row>
    <row r="592" spans="2:12" x14ac:dyDescent="0.25">
      <c r="B592" s="20">
        <v>45505</v>
      </c>
      <c r="C592" t="str">
        <v>RUIZ MARIA ESTER</v>
      </c>
      <c r="D592">
        <v>72</v>
      </c>
      <c r="E592" t="str">
        <v xml:space="preserve">URANGA </v>
      </c>
      <c r="F592" t="str">
        <v>FX CADERA</v>
      </c>
      <c r="G592" t="str">
        <v>PTC COTILO D MOV</v>
      </c>
      <c r="H592">
        <v>0</v>
      </c>
      <c r="I592" t="str">
        <v>ACEPTADO</v>
      </c>
      <c r="J592" t="str">
        <v>PARANÁ</v>
      </c>
      <c r="K592" t="str">
        <v>PAMI</v>
      </c>
      <c r="L592">
        <v>0</v>
      </c>
    </row>
    <row r="593" spans="2:12" x14ac:dyDescent="0.25">
      <c r="B593" s="20">
        <v>45505</v>
      </c>
      <c r="C593" t="str">
        <v>ALVAREZ JOSE</v>
      </c>
      <c r="D593">
        <v>80</v>
      </c>
      <c r="E593" t="str">
        <v>CASERES</v>
      </c>
      <c r="F593" t="str">
        <v>FX CADERA</v>
      </c>
      <c r="G593" t="str">
        <v>CLAVO GAMMA</v>
      </c>
      <c r="H593" t="str">
        <v>VILLALBA</v>
      </c>
      <c r="I593" t="str">
        <v>ACEPTADO</v>
      </c>
      <c r="J593" t="str">
        <v>PARANÁ</v>
      </c>
      <c r="K593" t="str">
        <v>PAMI</v>
      </c>
      <c r="L593">
        <v>0</v>
      </c>
    </row>
    <row r="594" spans="2:12" x14ac:dyDescent="0.25">
      <c r="B594" s="20">
        <v>45505</v>
      </c>
      <c r="C594" t="str">
        <v>ORTMANN LIDIA</v>
      </c>
      <c r="D594">
        <v>79</v>
      </c>
      <c r="E594" t="str">
        <v>CASERES</v>
      </c>
      <c r="F594" t="str">
        <v>FX CADERA</v>
      </c>
      <c r="G594" t="str">
        <v>PTC CEMENTADA COTILO D MOV</v>
      </c>
      <c r="H594">
        <v>0</v>
      </c>
      <c r="I594" t="str">
        <v>ACEPTADO</v>
      </c>
      <c r="J594" t="str">
        <v>PARANÁ</v>
      </c>
      <c r="K594" t="str">
        <v>PAMI</v>
      </c>
      <c r="L594">
        <v>0</v>
      </c>
    </row>
    <row r="595" spans="2:12" x14ac:dyDescent="0.25">
      <c r="B595" s="20">
        <v>45506</v>
      </c>
      <c r="C595" t="str">
        <v>MORALES SUSANA</v>
      </c>
      <c r="D595">
        <v>38</v>
      </c>
      <c r="E595" t="str">
        <v>SUKSDORF</v>
      </c>
      <c r="F595" t="str">
        <v>NECROSIS</v>
      </c>
      <c r="G595" t="str">
        <v>1 PTC</v>
      </c>
      <c r="H595">
        <v>0</v>
      </c>
      <c r="I595" t="str">
        <v>ACEPTADO</v>
      </c>
      <c r="J595" t="str">
        <v>PARANÁ</v>
      </c>
      <c r="K595" t="str">
        <v>S/M</v>
      </c>
      <c r="L595">
        <v>0</v>
      </c>
    </row>
    <row r="596" spans="2:12" x14ac:dyDescent="0.25">
      <c r="B596" s="20">
        <v>45506</v>
      </c>
      <c r="C596" t="str">
        <v>ARMOA NAHUEL</v>
      </c>
      <c r="D596">
        <v>30</v>
      </c>
      <c r="E596" t="str">
        <v xml:space="preserve">URANGA </v>
      </c>
      <c r="F596" t="str">
        <v>ESPONDIOLISTESIS</v>
      </c>
      <c r="G596" t="str">
        <v xml:space="preserve"> 1 ALIF DE PEEK 1 DOSIS DE SUSTITUTO </v>
      </c>
      <c r="H596">
        <v>0</v>
      </c>
      <c r="I596" t="str">
        <v>ACEPTADO</v>
      </c>
      <c r="J596">
        <v>0</v>
      </c>
      <c r="K596" t="str">
        <v>S/M</v>
      </c>
      <c r="L596">
        <v>0</v>
      </c>
    </row>
    <row r="597" spans="2:12" x14ac:dyDescent="0.25">
      <c r="B597" s="20">
        <v>45512</v>
      </c>
      <c r="C597" t="str">
        <v>RETAMAL NILDA</v>
      </c>
      <c r="D597">
        <v>70</v>
      </c>
      <c r="E597" t="str">
        <v>UCEDO</v>
      </c>
      <c r="F597" t="str">
        <v>HALLUX VALGUS</v>
      </c>
      <c r="G597" t="str">
        <v>TORNILLO TIPO BAROUK CANULADOS CLAVIJAS</v>
      </c>
      <c r="H597">
        <v>0</v>
      </c>
      <c r="I597" t="str">
        <v>ACEPTADO</v>
      </c>
      <c r="J597" t="str">
        <v>PARANÁ</v>
      </c>
      <c r="K597" t="str">
        <v>PAMI</v>
      </c>
      <c r="L597">
        <v>0</v>
      </c>
    </row>
    <row r="598" spans="2:12" x14ac:dyDescent="0.25">
      <c r="B598" s="20">
        <v>45516</v>
      </c>
      <c r="C598" t="str">
        <v>PINO ALMA</v>
      </c>
      <c r="D598">
        <v>65</v>
      </c>
      <c r="E598" t="str">
        <v>NARVAEZ</v>
      </c>
      <c r="F598" t="str">
        <v>ARTRODESIS DE T</v>
      </c>
      <c r="G598" t="str">
        <v>TORNILLOS CANULADOS DE 2 A 4,5</v>
      </c>
      <c r="H598">
        <v>0</v>
      </c>
      <c r="I598" t="str">
        <v>ACEPTADO</v>
      </c>
      <c r="J598" t="str">
        <v xml:space="preserve">SANTA ELENA </v>
      </c>
      <c r="K598" t="str">
        <v>PAMI</v>
      </c>
      <c r="L598">
        <v>0</v>
      </c>
    </row>
    <row r="599" spans="2:12" x14ac:dyDescent="0.25">
      <c r="B599" s="20">
        <v>45516</v>
      </c>
      <c r="C599" t="str">
        <v>SCHLEGEL LIDIA</v>
      </c>
      <c r="D599">
        <v>88</v>
      </c>
      <c r="E599" t="str">
        <v>PEÑA TANIA</v>
      </c>
      <c r="F599" t="str">
        <v>FX CADERA</v>
      </c>
      <c r="G599" t="str">
        <v>PTC COTILO D MOV</v>
      </c>
      <c r="H599" t="str">
        <v>VILLALBA</v>
      </c>
      <c r="I599" t="str">
        <v>ACEPTADO</v>
      </c>
      <c r="J599" t="str">
        <v>PARANÁ</v>
      </c>
      <c r="K599" t="str">
        <v>PAMI</v>
      </c>
      <c r="L599">
        <v>0</v>
      </c>
    </row>
    <row r="600" spans="2:12" x14ac:dyDescent="0.25">
      <c r="B600" s="20">
        <v>45516</v>
      </c>
      <c r="C600" t="str">
        <v>RODRIGUEZ ROSA</v>
      </c>
      <c r="D600">
        <v>64</v>
      </c>
      <c r="E600" t="str">
        <v>UCEDO</v>
      </c>
      <c r="F600" t="str">
        <v>FX HUMERO</v>
      </c>
      <c r="G600" t="str">
        <v>1 PLACA PHILO TORNILLOS CANULADOS</v>
      </c>
      <c r="H600">
        <v>0</v>
      </c>
      <c r="I600" t="str">
        <v>ACEPTADO</v>
      </c>
      <c r="J600" t="str">
        <v>PARANÁ</v>
      </c>
      <c r="K600" t="str">
        <v>PAMI</v>
      </c>
      <c r="L600">
        <v>0</v>
      </c>
    </row>
    <row r="601" spans="2:12" x14ac:dyDescent="0.25">
      <c r="B601" s="20">
        <v>45516</v>
      </c>
      <c r="C601" t="str">
        <v>CABRERA ALICIA</v>
      </c>
      <c r="D601">
        <v>71</v>
      </c>
      <c r="E601" t="str">
        <v>CESAR MEYNET</v>
      </c>
      <c r="F601">
        <v>0</v>
      </c>
      <c r="G601" t="str">
        <v>PTC  COTILO D MOV</v>
      </c>
      <c r="H601" t="str">
        <v>VILLALBA</v>
      </c>
      <c r="I601" t="str">
        <v>ACEPTADO</v>
      </c>
      <c r="J601" t="str">
        <v>LA PAZ</v>
      </c>
      <c r="K601" t="str">
        <v>PAMI</v>
      </c>
      <c r="L601">
        <v>0</v>
      </c>
    </row>
    <row r="602" spans="2:12" x14ac:dyDescent="0.25">
      <c r="B602" s="20">
        <v>45516</v>
      </c>
      <c r="C602" t="str">
        <v>WAGNER OLGA</v>
      </c>
      <c r="D602">
        <v>76</v>
      </c>
      <c r="E602" t="str">
        <v>GARCIA VITOR</v>
      </c>
      <c r="F602" t="str">
        <v>GONARTROSIS</v>
      </c>
      <c r="G602" t="str">
        <v>PTR</v>
      </c>
      <c r="H602">
        <v>0</v>
      </c>
      <c r="I602" t="str">
        <v>ACEPTADO</v>
      </c>
      <c r="J602" t="str">
        <v>PARANÁ</v>
      </c>
      <c r="K602" t="str">
        <v>PAMI</v>
      </c>
      <c r="L602">
        <v>0</v>
      </c>
    </row>
    <row r="603" spans="2:12" x14ac:dyDescent="0.25">
      <c r="B603" s="20">
        <v>45516</v>
      </c>
      <c r="C603" t="str">
        <v>CORDOBA MARIA MERCEDES</v>
      </c>
      <c r="D603">
        <v>53</v>
      </c>
      <c r="E603" t="str">
        <v>COLLOMB</v>
      </c>
      <c r="F603" t="str">
        <v>FX FEMUR</v>
      </c>
      <c r="G603" t="str">
        <v>CLAVO GAMMA C ENDOMEDULAR</v>
      </c>
      <c r="H603">
        <v>0</v>
      </c>
      <c r="I603" t="str">
        <v>ACEPTADO</v>
      </c>
      <c r="J603" t="str">
        <v>PARANÁ</v>
      </c>
      <c r="K603" t="str">
        <v>PAMI</v>
      </c>
      <c r="L603">
        <v>0</v>
      </c>
    </row>
    <row r="604" spans="2:12" x14ac:dyDescent="0.25">
      <c r="B604" s="20">
        <v>45516</v>
      </c>
      <c r="C604" t="str">
        <v>MUÑOZ PABLO</v>
      </c>
      <c r="D604">
        <v>42</v>
      </c>
      <c r="E604" t="str">
        <v>PELEGRINI</v>
      </c>
      <c r="F604" t="str">
        <v>LCA</v>
      </c>
      <c r="G604" t="str">
        <v>1 BOTON 1 TORNILLO</v>
      </c>
      <c r="H604">
        <v>0</v>
      </c>
      <c r="I604" t="str">
        <v>ACEPTADO</v>
      </c>
      <c r="J604" t="str">
        <v>PARANÁ</v>
      </c>
      <c r="K604" t="str">
        <v>S/M</v>
      </c>
      <c r="L604">
        <v>0</v>
      </c>
    </row>
    <row r="605" spans="2:12" x14ac:dyDescent="0.25">
      <c r="B605" s="20">
        <v>45516</v>
      </c>
      <c r="C605" t="str">
        <v>ROMERO PABLO</v>
      </c>
      <c r="D605">
        <v>31</v>
      </c>
      <c r="E605" t="str">
        <v>GARCIA VITOR</v>
      </c>
      <c r="F605" t="str">
        <v>PSEUDOARTROSIS DE FEMUR</v>
      </c>
      <c r="G605" t="str">
        <v>1SET DE EXTRACCION DE CLAVO FEMUR PLACAS CONDILEAS</v>
      </c>
      <c r="H605">
        <v>0</v>
      </c>
      <c r="I605" t="str">
        <v>ACEPTADO</v>
      </c>
      <c r="J605" t="str">
        <v>PARANÁ</v>
      </c>
      <c r="K605" t="str">
        <v>S/M</v>
      </c>
      <c r="L605">
        <v>0</v>
      </c>
    </row>
    <row r="606" spans="2:12" x14ac:dyDescent="0.25">
      <c r="B606" s="20">
        <v>45517</v>
      </c>
      <c r="C606" t="str">
        <v>LENCINA LUCILA</v>
      </c>
      <c r="D606">
        <v>83</v>
      </c>
      <c r="E606" t="str">
        <v>CESAR MEYNET</v>
      </c>
      <c r="F606" t="str">
        <v>GENUVARO</v>
      </c>
      <c r="G606" t="str">
        <v>PTR</v>
      </c>
      <c r="H606" t="str">
        <v>VILLALBA</v>
      </c>
      <c r="I606" t="str">
        <v>ACEPTADO</v>
      </c>
      <c r="J606" t="str">
        <v>PARANÁ</v>
      </c>
      <c r="K606" t="str">
        <v>PAMI</v>
      </c>
      <c r="L606">
        <v>0</v>
      </c>
    </row>
    <row r="607" spans="2:12" x14ac:dyDescent="0.25">
      <c r="B607" s="20">
        <v>45517</v>
      </c>
      <c r="C607" t="str">
        <v>KOBS JULIO</v>
      </c>
      <c r="D607">
        <v>56</v>
      </c>
      <c r="E607" t="str">
        <v>GARCIA VITOR</v>
      </c>
      <c r="F607">
        <v>0</v>
      </c>
      <c r="G607" t="str">
        <v>COTILO DOBLE MOVILIDAD CAB. 28 MET. VILL. ACEPTADA</v>
      </c>
      <c r="H607">
        <v>0</v>
      </c>
      <c r="I607" t="str">
        <v>ACEPTADO</v>
      </c>
      <c r="J607" t="str">
        <v>PARANÁ</v>
      </c>
      <c r="K607" t="str">
        <v>PAMI</v>
      </c>
      <c r="L607">
        <v>0</v>
      </c>
    </row>
    <row r="608" spans="2:12" x14ac:dyDescent="0.25">
      <c r="B608" s="20">
        <v>45518</v>
      </c>
      <c r="C608" t="str">
        <v>jacob omar</v>
      </c>
      <c r="D608">
        <v>0</v>
      </c>
      <c r="E608" t="str">
        <v>STOPELLO</v>
      </c>
      <c r="F608" t="str">
        <v>coxartrosis</v>
      </c>
      <c r="G608" t="str">
        <v>4 dosis de cemento</v>
      </c>
      <c r="H608">
        <v>0</v>
      </c>
      <c r="I608" t="str">
        <v>ACEPTADO</v>
      </c>
      <c r="J608" t="str">
        <v>PARANÁ</v>
      </c>
      <c r="K608" t="str">
        <v>PAMI</v>
      </c>
      <c r="L608">
        <v>0</v>
      </c>
    </row>
    <row r="609" spans="2:12" x14ac:dyDescent="0.25">
      <c r="B609" s="20">
        <v>45519</v>
      </c>
      <c r="C609" t="str">
        <v>QUIROGA ROSA</v>
      </c>
      <c r="D609">
        <v>52</v>
      </c>
      <c r="E609" t="str">
        <v>STOPELLO</v>
      </c>
      <c r="F609" t="str">
        <v>RTC</v>
      </c>
      <c r="G609" t="str">
        <v xml:space="preserve">PTC </v>
      </c>
      <c r="H609">
        <v>0</v>
      </c>
      <c r="I609" t="str">
        <v>ACEPTADO</v>
      </c>
      <c r="J609" t="str">
        <v>PARANÁ</v>
      </c>
      <c r="K609" t="str">
        <v>S/M</v>
      </c>
      <c r="L609">
        <v>0</v>
      </c>
    </row>
    <row r="610" spans="2:12" x14ac:dyDescent="0.25">
      <c r="B610" s="20">
        <v>45519</v>
      </c>
      <c r="C610" t="str">
        <v>ORTMANN LIDIA</v>
      </c>
      <c r="D610">
        <v>79</v>
      </c>
      <c r="E610" t="str">
        <v>COLLOMB</v>
      </c>
      <c r="F610" t="str">
        <v>FX MUÑECA</v>
      </c>
      <c r="G610" t="str">
        <v>PLACA DOBLE HD2,7/3,5 MM BL. VILLALBA</v>
      </c>
      <c r="H610" t="str">
        <v xml:space="preserve"> BL. VILLALBA</v>
      </c>
      <c r="I610" t="str">
        <v>ACEPTADO</v>
      </c>
      <c r="J610" t="str">
        <v>PARANÁ</v>
      </c>
      <c r="K610" t="str">
        <v>PAMI</v>
      </c>
      <c r="L610">
        <v>0</v>
      </c>
    </row>
    <row r="611" spans="2:12" x14ac:dyDescent="0.25">
      <c r="B611" s="20">
        <v>45520</v>
      </c>
      <c r="C611" t="str">
        <v>KLEM BRISA MAILEN</v>
      </c>
      <c r="D611">
        <v>15</v>
      </c>
      <c r="E611" t="str">
        <v xml:space="preserve">URANGA </v>
      </c>
      <c r="F611" t="str">
        <v>ARTROSIS DE CADERA B</v>
      </c>
      <c r="G611" t="str">
        <v>20 TORNILLOS 2 BARRAS POTENCIALES  ENFOCADOS</v>
      </c>
      <c r="H611">
        <v>0</v>
      </c>
      <c r="I611" t="str">
        <v>ACEPTADO</v>
      </c>
      <c r="J611" t="str">
        <v>PARANÁ</v>
      </c>
      <c r="K611" t="str">
        <v>S/M</v>
      </c>
      <c r="L611">
        <v>0</v>
      </c>
    </row>
    <row r="612" spans="2:12" x14ac:dyDescent="0.25">
      <c r="B612" s="20">
        <v>45523</v>
      </c>
      <c r="C612" t="str">
        <v>kobs julio</v>
      </c>
      <c r="D612">
        <v>56</v>
      </c>
      <c r="E612" t="str">
        <v>GARCIA VITOR</v>
      </c>
      <c r="F612" t="str">
        <v>LUXACION DE ART</v>
      </c>
      <c r="G612" t="str">
        <v>COTILO DOBLE  MOV</v>
      </c>
      <c r="H612">
        <v>0</v>
      </c>
      <c r="I612" t="str">
        <v>ACEPTADO</v>
      </c>
      <c r="J612" t="str">
        <v>CRESPO</v>
      </c>
      <c r="K612" t="str">
        <v>PAMI</v>
      </c>
      <c r="L612">
        <v>0</v>
      </c>
    </row>
    <row r="613" spans="2:12" x14ac:dyDescent="0.25">
      <c r="B613" s="20">
        <v>45523</v>
      </c>
      <c r="C613" t="str">
        <v>SPAHN ROBERTO</v>
      </c>
      <c r="D613">
        <v>44</v>
      </c>
      <c r="E613" t="str">
        <v xml:space="preserve">URANGA </v>
      </c>
      <c r="F613">
        <v>0</v>
      </c>
      <c r="G613" t="str">
        <v>XLIF AUTOBLOQUEADO CON TORNILLO</v>
      </c>
      <c r="H613">
        <v>0</v>
      </c>
      <c r="I613" t="str">
        <v>ACEPTADO</v>
      </c>
      <c r="J613" t="str">
        <v>ALDEA BRASILERA</v>
      </c>
      <c r="K613" t="str">
        <v>PAMI</v>
      </c>
      <c r="L613">
        <v>0</v>
      </c>
    </row>
    <row r="614" spans="2:12" x14ac:dyDescent="0.25">
      <c r="B614" s="20">
        <v>45523</v>
      </c>
      <c r="C614" t="str">
        <v>ORTMANN LIDIA</v>
      </c>
      <c r="D614">
        <v>79</v>
      </c>
      <c r="E614" t="str">
        <v>COLLOMB</v>
      </c>
      <c r="F614" t="str">
        <v>FX MUÑECA</v>
      </c>
      <c r="G614" t="str">
        <v>PLACA DOBLE HD2,7/3,5 MM BL. VILLALBA</v>
      </c>
      <c r="H614">
        <v>0</v>
      </c>
      <c r="I614" t="str">
        <v>ACEPTADO</v>
      </c>
      <c r="J614" t="str">
        <v>PARANÁ</v>
      </c>
      <c r="K614" t="str">
        <v>PAMI</v>
      </c>
      <c r="L614">
        <v>0</v>
      </c>
    </row>
    <row r="615" spans="2:12" x14ac:dyDescent="0.25">
      <c r="B615" s="20">
        <v>45523</v>
      </c>
      <c r="C615" t="str">
        <v>GERSTNER VICTORIA</v>
      </c>
      <c r="D615">
        <v>66</v>
      </c>
      <c r="E615" t="str">
        <v>STOPELLO</v>
      </c>
      <c r="F615" t="str">
        <v>coxartrosis</v>
      </c>
      <c r="G615" t="str">
        <v xml:space="preserve">PTC </v>
      </c>
      <c r="H615" t="str">
        <v>IP MAGNA</v>
      </c>
      <c r="I615" t="str">
        <v>ACEPTADO</v>
      </c>
      <c r="J615" t="str">
        <v>PARANÁ</v>
      </c>
      <c r="K615" t="str">
        <v>PAMI</v>
      </c>
      <c r="L615">
        <v>0</v>
      </c>
    </row>
    <row r="616" spans="2:12" x14ac:dyDescent="0.25">
      <c r="B616" s="20">
        <v>45527</v>
      </c>
      <c r="C616" t="str">
        <v>MOREIRA BEATRIZ</v>
      </c>
      <c r="D616">
        <v>71</v>
      </c>
      <c r="E616" t="str">
        <v>COLLOMB</v>
      </c>
      <c r="F616" t="str">
        <v>FX FEMUR IZQ</v>
      </c>
      <c r="G616" t="str">
        <v>CLA END RETRO DE FEMURR ACERROJADO</v>
      </c>
      <c r="H616">
        <v>0</v>
      </c>
      <c r="I616" t="str">
        <v>ACEPTADO</v>
      </c>
      <c r="J616" t="str">
        <v>PARANÁ</v>
      </c>
      <c r="K616" t="str">
        <v>PAMI</v>
      </c>
      <c r="L616">
        <v>0</v>
      </c>
    </row>
    <row r="617" spans="2:12" x14ac:dyDescent="0.25">
      <c r="B617" s="20">
        <v>45530</v>
      </c>
      <c r="C617" t="str">
        <v xml:space="preserve">PEREYRA LIDIA </v>
      </c>
      <c r="D617">
        <v>60</v>
      </c>
      <c r="E617" t="str">
        <v>YACOMO</v>
      </c>
      <c r="F617" t="str">
        <v>ARTROSIS DE CADERA B</v>
      </c>
      <c r="G617" t="str">
        <v xml:space="preserve"> PTC</v>
      </c>
      <c r="H617" t="str">
        <v>VILLALBA</v>
      </c>
      <c r="I617" t="str">
        <v>ACEPTADO</v>
      </c>
      <c r="J617" t="str">
        <v>PARANÁ</v>
      </c>
      <c r="K617" t="str">
        <v>PAMI</v>
      </c>
      <c r="L617">
        <v>0</v>
      </c>
    </row>
    <row r="618" spans="2:12" x14ac:dyDescent="0.25">
      <c r="B618" s="20">
        <v>45531</v>
      </c>
      <c r="C618" t="str">
        <v>MENDOZA ADELA</v>
      </c>
      <c r="D618">
        <v>86</v>
      </c>
      <c r="E618" t="str">
        <v>COLLOMB</v>
      </c>
      <c r="F618" t="str">
        <v xml:space="preserve">FX DE CADERA </v>
      </c>
      <c r="G618" t="str">
        <v>FX DE CADERA IZQ</v>
      </c>
      <c r="H618" t="str">
        <v>VILLALBA</v>
      </c>
      <c r="I618" t="str">
        <v>ACEPTADO</v>
      </c>
      <c r="J618" t="str">
        <v>PARANÁ</v>
      </c>
      <c r="K618" t="str">
        <v>PAMI</v>
      </c>
      <c r="L618">
        <v>0</v>
      </c>
    </row>
    <row r="619" spans="2:12" x14ac:dyDescent="0.25">
      <c r="B619" s="20">
        <v>45532</v>
      </c>
      <c r="C619" t="str">
        <v>AYALA MARIA</v>
      </c>
      <c r="D619">
        <v>30</v>
      </c>
      <c r="E619">
        <v>0</v>
      </c>
      <c r="F619" t="str">
        <v>LCA</v>
      </c>
      <c r="G619" t="str">
        <v>BOTON CORTICAL PARA REC LCA</v>
      </c>
      <c r="H619">
        <v>0</v>
      </c>
      <c r="I619" t="str">
        <v>ACEPTADO</v>
      </c>
      <c r="J619" t="str">
        <v>HASENKAMP</v>
      </c>
      <c r="K619" t="str">
        <v>S/M</v>
      </c>
      <c r="L619">
        <v>0</v>
      </c>
    </row>
    <row r="620" spans="2:12" x14ac:dyDescent="0.25">
      <c r="B620" s="20">
        <v>45534</v>
      </c>
      <c r="C620" t="str">
        <v>LONDERO MARIA</v>
      </c>
      <c r="D620">
        <v>83</v>
      </c>
      <c r="E620" t="str">
        <v>COLLOMB</v>
      </c>
      <c r="F620" t="str">
        <v>FX CADERA DERECHA</v>
      </c>
      <c r="G620" t="str">
        <v>PROTESIS THOMPSON</v>
      </c>
      <c r="H620" t="str">
        <v>VILLALBA</v>
      </c>
      <c r="I620" t="str">
        <v>ACEPTADO</v>
      </c>
      <c r="J620" t="str">
        <v>PARANÁ</v>
      </c>
      <c r="K620" t="str">
        <v>PAMI</v>
      </c>
      <c r="L620">
        <v>0</v>
      </c>
    </row>
    <row r="621" spans="2:12" x14ac:dyDescent="0.25">
      <c r="B621" s="20">
        <v>45534</v>
      </c>
      <c r="C621" t="str">
        <v>ALBORNOZ JORGE</v>
      </c>
      <c r="D621">
        <v>69</v>
      </c>
      <c r="E621" t="str">
        <v>COLLOMB</v>
      </c>
      <c r="F621" t="str">
        <v>FX CADERA DERECHA</v>
      </c>
      <c r="G621" t="str">
        <v>CLAVO GAMMA CORTO Y LARGO</v>
      </c>
      <c r="H621" t="str">
        <v>VILLALBA</v>
      </c>
      <c r="I621" t="str">
        <v>ACEPTADO</v>
      </c>
      <c r="J621" t="str">
        <v>PARANÁ</v>
      </c>
      <c r="K621" t="str">
        <v>PAMI</v>
      </c>
      <c r="L621">
        <v>0</v>
      </c>
    </row>
    <row r="622" spans="2:12" x14ac:dyDescent="0.25">
      <c r="B622" s="20">
        <v>45534</v>
      </c>
      <c r="C622" t="str">
        <v>ROJAS CELINA</v>
      </c>
      <c r="D622">
        <v>83</v>
      </c>
      <c r="E622" t="str">
        <v>GARCIA VITOR</v>
      </c>
      <c r="F622" t="str">
        <v>GONOARTROSIS</v>
      </c>
      <c r="G622" t="str">
        <v>REMPLAZO TOTAL RODILLA DER</v>
      </c>
      <c r="H622" t="str">
        <v>VILLALBA</v>
      </c>
      <c r="I622" t="str">
        <v>ACEPTADO</v>
      </c>
      <c r="J622" t="str">
        <v>PARANÁ</v>
      </c>
      <c r="K622" t="str">
        <v>PAMI</v>
      </c>
      <c r="L622">
        <v>0</v>
      </c>
    </row>
    <row r="623" spans="2:12" x14ac:dyDescent="0.25">
      <c r="B623" s="20">
        <v>45534</v>
      </c>
      <c r="C623" t="str">
        <v>RODRIGUEZ DORA</v>
      </c>
      <c r="D623">
        <v>77</v>
      </c>
      <c r="E623" t="str">
        <v>STOPELLO</v>
      </c>
      <c r="F623" t="str">
        <v>GONOARTROSIS</v>
      </c>
      <c r="G623" t="str">
        <v>PTC</v>
      </c>
      <c r="H623" t="str">
        <v>VILLALBA</v>
      </c>
      <c r="I623" t="str">
        <v>ACEPTADO</v>
      </c>
      <c r="J623" t="str">
        <v>PARANÁ</v>
      </c>
      <c r="K623" t="str">
        <v>PAMI</v>
      </c>
      <c r="L623">
        <v>0</v>
      </c>
    </row>
    <row r="624" spans="2:12" x14ac:dyDescent="0.25">
      <c r="B624" s="20">
        <v>45534</v>
      </c>
      <c r="C624" t="str">
        <v>CHAMOT KARINA</v>
      </c>
      <c r="D624">
        <v>56</v>
      </c>
      <c r="E624" t="str">
        <v>GARCIA VITOR</v>
      </c>
      <c r="F624" t="str">
        <v>OSTEONECROSIS</v>
      </c>
      <c r="G624" t="str">
        <v>PTC</v>
      </c>
      <c r="H624">
        <v>0</v>
      </c>
      <c r="I624" t="str">
        <v>ACEPTADO</v>
      </c>
      <c r="J624" t="str">
        <v>LA PAZ</v>
      </c>
      <c r="K624" t="str">
        <v>S/M</v>
      </c>
      <c r="L624">
        <v>0</v>
      </c>
    </row>
    <row r="625" spans="2:12" x14ac:dyDescent="0.25">
      <c r="B625" s="20">
        <v>45534</v>
      </c>
      <c r="C625" t="str">
        <v>KUNZI SEBASTIAN</v>
      </c>
      <c r="D625">
        <v>74</v>
      </c>
      <c r="E625" t="str">
        <v>VENTURI</v>
      </c>
      <c r="F625" t="str">
        <v>RUP MANG ROT</v>
      </c>
      <c r="G625" t="str">
        <v>2 ARP.</v>
      </c>
      <c r="H625" t="str">
        <v>VILLALBA</v>
      </c>
      <c r="I625" t="str">
        <v>ACEPTADO</v>
      </c>
      <c r="J625" t="str">
        <v>PARANÁ</v>
      </c>
      <c r="K625" t="str">
        <v>PAMI</v>
      </c>
      <c r="L625">
        <v>0</v>
      </c>
    </row>
    <row r="626" spans="2:12" x14ac:dyDescent="0.25">
      <c r="B626" s="20">
        <v>45536</v>
      </c>
      <c r="C626" t="str">
        <v>VALIENTE MARCELO</v>
      </c>
      <c r="D626">
        <v>26</v>
      </c>
      <c r="E626" t="str">
        <v>PELEGRINI</v>
      </c>
      <c r="F626" t="str">
        <v>RUP LCA</v>
      </c>
      <c r="G626" t="str">
        <v>BOT. CORT. 1 TORNILLO INTERFERENCIAL</v>
      </c>
      <c r="H626">
        <v>0</v>
      </c>
      <c r="I626" t="str">
        <v>ACEPTADO</v>
      </c>
      <c r="J626" t="str">
        <v>PARANÁ</v>
      </c>
      <c r="K626" t="str">
        <v>S/M</v>
      </c>
      <c r="L626">
        <v>0</v>
      </c>
    </row>
    <row r="627" spans="2:12" x14ac:dyDescent="0.25">
      <c r="B627" s="20">
        <v>45537</v>
      </c>
      <c r="C627" t="str">
        <v>RAMIREZ ROMAN</v>
      </c>
      <c r="D627">
        <v>43</v>
      </c>
      <c r="E627" t="str">
        <v>MERLINI</v>
      </c>
      <c r="F627" t="str">
        <v>FX 234 ,MTC DERECHA</v>
      </c>
      <c r="G627" t="str">
        <v>PL. 2 OMM BL. PL 2.7 BL. CLAV. 1.0 EL</v>
      </c>
      <c r="H627">
        <v>0</v>
      </c>
      <c r="I627" t="str">
        <v>ACEPTADO</v>
      </c>
      <c r="J627" t="str">
        <v>PARANÁ</v>
      </c>
      <c r="K627" t="str">
        <v>S/M</v>
      </c>
      <c r="L627">
        <v>0</v>
      </c>
    </row>
    <row r="628" spans="2:12" x14ac:dyDescent="0.25">
      <c r="B628" s="20">
        <v>45537</v>
      </c>
      <c r="C628" t="str">
        <v>TAISNER KAREN</v>
      </c>
      <c r="D628">
        <v>25</v>
      </c>
      <c r="E628" t="str">
        <v>MERLINI</v>
      </c>
      <c r="F628" t="str">
        <v>FX MUÑECA BI</v>
      </c>
      <c r="G628" t="str">
        <v>PL. DOBLE HI. DIS 3,5- 2,7 MM PL. DCP 3.5 BL.LC</v>
      </c>
      <c r="H628">
        <v>0</v>
      </c>
      <c r="I628" t="str">
        <v>ACEPTADO</v>
      </c>
      <c r="J628" t="str">
        <v>PARANÁ</v>
      </c>
      <c r="K628" t="str">
        <v>S/M</v>
      </c>
      <c r="L628">
        <v>0</v>
      </c>
    </row>
    <row r="629" spans="2:12" x14ac:dyDescent="0.25">
      <c r="B629" s="20">
        <v>45537</v>
      </c>
      <c r="C629" t="str">
        <v>LEHONARDT AZUCENA</v>
      </c>
      <c r="D629">
        <v>83</v>
      </c>
      <c r="E629">
        <v>0</v>
      </c>
      <c r="F629" t="str">
        <v xml:space="preserve">FX CADERA </v>
      </c>
      <c r="G629" t="str">
        <v>PROT THOMSON STE. HEMOSUCTOR</v>
      </c>
      <c r="H629" t="str">
        <v>VILLALBA</v>
      </c>
      <c r="I629" t="str">
        <v>ACEPTADO</v>
      </c>
      <c r="J629" t="str">
        <v>PARANÁ</v>
      </c>
      <c r="K629" t="str">
        <v>PAMI</v>
      </c>
      <c r="L629">
        <v>0</v>
      </c>
    </row>
    <row r="630" spans="2:12" x14ac:dyDescent="0.25">
      <c r="B630" s="20">
        <v>45538</v>
      </c>
      <c r="C630" t="str">
        <v>GONZALEZ SILVIA</v>
      </c>
      <c r="D630">
        <v>66</v>
      </c>
      <c r="E630">
        <v>0</v>
      </c>
      <c r="F630" t="str">
        <v>RODILLA</v>
      </c>
      <c r="G630" t="str">
        <v>1 DESTORNILLADOR PUN ESTRELLADA</v>
      </c>
      <c r="H630" t="str">
        <v>VILLALBA</v>
      </c>
      <c r="I630" t="str">
        <v>ACEPTADO</v>
      </c>
      <c r="J630" t="str">
        <v>SAN BENITO</v>
      </c>
      <c r="K630" t="str">
        <v>PAMI</v>
      </c>
      <c r="L630">
        <v>0</v>
      </c>
    </row>
    <row r="631" spans="2:12" x14ac:dyDescent="0.25">
      <c r="B631" s="20">
        <v>45539</v>
      </c>
      <c r="C631" t="str">
        <v>RETAMAL NILDA</v>
      </c>
      <c r="D631">
        <v>70</v>
      </c>
      <c r="E631">
        <v>0</v>
      </c>
      <c r="F631" t="str">
        <v>CONS VICIOSA VS RET, CON.</v>
      </c>
      <c r="G631" t="str">
        <v>1 CLAV. TIPO MULLER. CON SET MAS 1 NUEV CL GAMMA</v>
      </c>
      <c r="H631" t="str">
        <v>VILLALBA</v>
      </c>
      <c r="I631" t="str">
        <v>ACEPTADO</v>
      </c>
      <c r="J631" t="str">
        <v>PARANÁ</v>
      </c>
      <c r="K631" t="str">
        <v>PAMI</v>
      </c>
      <c r="L631">
        <v>0</v>
      </c>
    </row>
    <row r="632" spans="2:12" x14ac:dyDescent="0.25">
      <c r="B632" s="20">
        <v>45540</v>
      </c>
      <c r="C632" t="str">
        <v>IEDRO BARBARA</v>
      </c>
      <c r="D632">
        <v>41</v>
      </c>
      <c r="E632" t="str">
        <v>COLLOMB</v>
      </c>
      <c r="F632" t="str">
        <v>GONOARTROSIS DER E IZQ SEV</v>
      </c>
      <c r="G632" t="str">
        <v>SIS ROD CEM PTR, CON COMP FEM. CR 12 TALLAS</v>
      </c>
      <c r="H632">
        <v>0</v>
      </c>
      <c r="I632" t="str">
        <v>ACEPTADO</v>
      </c>
      <c r="J632" t="str">
        <v>PARANÁ</v>
      </c>
      <c r="K632" t="str">
        <v>S/M</v>
      </c>
      <c r="L632">
        <v>0</v>
      </c>
    </row>
    <row r="633" spans="2:12" x14ac:dyDescent="0.25">
      <c r="B633" s="20">
        <v>45541</v>
      </c>
      <c r="C633" t="str">
        <v>DEMUTTE BEATRIZ</v>
      </c>
      <c r="D633">
        <v>70</v>
      </c>
      <c r="E633">
        <v>0</v>
      </c>
      <c r="F633" t="str">
        <v>CANAL ESTRECHO</v>
      </c>
      <c r="G633" t="str">
        <v>SIS DE FIJACION COL. 5 NIV. 10 TOR PED</v>
      </c>
      <c r="H633">
        <v>0</v>
      </c>
      <c r="I633" t="str">
        <v>ACEPTADO</v>
      </c>
      <c r="J633" t="str">
        <v>PARANÁ</v>
      </c>
      <c r="K633" t="str">
        <v>PAMI</v>
      </c>
      <c r="L633">
        <v>0</v>
      </c>
    </row>
    <row r="634" spans="2:12" x14ac:dyDescent="0.25">
      <c r="B634" s="20">
        <v>45541</v>
      </c>
      <c r="C634" t="str">
        <v xml:space="preserve">IGLESIAS NEYEN </v>
      </c>
      <c r="D634">
        <v>0</v>
      </c>
      <c r="E634" t="str">
        <v>MERLINI</v>
      </c>
      <c r="F634" t="str">
        <v>FX CLAVICULA IZQUIERDA</v>
      </c>
      <c r="G634" t="str">
        <v>PLACA ANATOMICA BLOQ. 3.</v>
      </c>
      <c r="H634">
        <v>0</v>
      </c>
      <c r="I634" t="str">
        <v>ACEPTADO</v>
      </c>
      <c r="J634">
        <v>0</v>
      </c>
      <c r="K634" t="str">
        <v>S/M</v>
      </c>
      <c r="L634">
        <v>0</v>
      </c>
    </row>
    <row r="635" spans="2:12" x14ac:dyDescent="0.25">
      <c r="B635" s="20">
        <v>45541</v>
      </c>
      <c r="C635" t="str">
        <v xml:space="preserve">VIVAS ALBERTO </v>
      </c>
      <c r="D635">
        <v>0</v>
      </c>
      <c r="E635">
        <v>0</v>
      </c>
      <c r="F635" t="str">
        <v>FX PELVIS</v>
      </c>
      <c r="G635">
        <v>0</v>
      </c>
      <c r="H635" t="str">
        <v xml:space="preserve">PLACAS DE RECONS. </v>
      </c>
      <c r="I635" t="str">
        <v>ACEPTADO</v>
      </c>
      <c r="J635" t="str">
        <v>PARANÁ</v>
      </c>
      <c r="K635" t="str">
        <v>S/M</v>
      </c>
      <c r="L635">
        <v>0</v>
      </c>
    </row>
    <row r="636" spans="2:12" x14ac:dyDescent="0.25">
      <c r="B636" s="20">
        <v>45545</v>
      </c>
      <c r="C636" t="str">
        <v>VENECIO URSULA</v>
      </c>
      <c r="D636">
        <v>28</v>
      </c>
      <c r="E636" t="str">
        <v>VENTURI</v>
      </c>
      <c r="F636" t="str">
        <v>LCA</v>
      </c>
      <c r="G636" t="str">
        <v>ENDOBOTTON TORNILLO INTER</v>
      </c>
      <c r="H636">
        <v>0</v>
      </c>
      <c r="I636" t="str">
        <v>ACEPTADO</v>
      </c>
      <c r="J636" t="str">
        <v>PARANÁ</v>
      </c>
      <c r="K636" t="str">
        <v>S/M</v>
      </c>
      <c r="L636">
        <v>0</v>
      </c>
    </row>
    <row r="637" spans="2:12" x14ac:dyDescent="0.25">
      <c r="B637" s="20">
        <v>45545</v>
      </c>
      <c r="C637" t="str">
        <v>ORZUZA SANTIAGO</v>
      </c>
      <c r="D637">
        <v>23</v>
      </c>
      <c r="E637" t="str">
        <v>VENTURI</v>
      </c>
      <c r="F637" t="str">
        <v xml:space="preserve">FX MUÑECA </v>
      </c>
      <c r="G637" t="str">
        <v>1 PLACA DOBLE HILERA T 2,7- 3,5</v>
      </c>
      <c r="H637">
        <v>0</v>
      </c>
      <c r="I637" t="str">
        <v>ACEPTADO</v>
      </c>
      <c r="J637" t="str">
        <v>PARANÁ</v>
      </c>
      <c r="K637" t="str">
        <v>S/M</v>
      </c>
      <c r="L637">
        <v>0</v>
      </c>
    </row>
    <row r="638" spans="2:12" x14ac:dyDescent="0.25">
      <c r="B638" s="20">
        <v>45548</v>
      </c>
      <c r="C638" t="str">
        <v>CHIMENTO MERCEDES</v>
      </c>
      <c r="D638">
        <v>71</v>
      </c>
      <c r="E638" t="str">
        <v>YACOMO</v>
      </c>
      <c r="F638" t="str">
        <v>GONATROSIS</v>
      </c>
      <c r="G638" t="str">
        <v>PTR CEMENTADA CON VASTAGOS</v>
      </c>
      <c r="H638">
        <v>0</v>
      </c>
      <c r="I638" t="str">
        <v>ACEPTADO</v>
      </c>
      <c r="J638" t="str">
        <v>PARANÁ</v>
      </c>
      <c r="K638" t="str">
        <v>PAMI</v>
      </c>
      <c r="L638">
        <v>0</v>
      </c>
    </row>
    <row r="639" spans="2:12" x14ac:dyDescent="0.25">
      <c r="B639" s="20">
        <v>45551</v>
      </c>
      <c r="C639" t="str">
        <v>YACOB ERCILIA</v>
      </c>
      <c r="D639">
        <v>0</v>
      </c>
      <c r="E639" t="str">
        <v>MERLINI</v>
      </c>
      <c r="F639" t="str">
        <v>COXARTROSIS</v>
      </c>
      <c r="G639" t="str">
        <v>1 ESPACIADOR</v>
      </c>
      <c r="H639">
        <v>0</v>
      </c>
      <c r="I639" t="str">
        <v>ACEPTADO</v>
      </c>
      <c r="J639" t="str">
        <v>PARANÁ</v>
      </c>
      <c r="K639" t="str">
        <v>PAMI</v>
      </c>
      <c r="L639">
        <v>0</v>
      </c>
    </row>
    <row r="640" spans="2:12" x14ac:dyDescent="0.25">
      <c r="B640" s="20">
        <v>45552</v>
      </c>
      <c r="C640" t="str">
        <v>MACIEL HUMBERTO</v>
      </c>
      <c r="D640">
        <v>72</v>
      </c>
      <c r="E640" t="str">
        <v>YACOMO</v>
      </c>
      <c r="F640" t="str">
        <v>GONARTROSIS</v>
      </c>
      <c r="G640" t="str">
        <v>PROTESIS DE RODILLA</v>
      </c>
      <c r="H640" t="str">
        <v>VILLALBA</v>
      </c>
      <c r="I640" t="str">
        <v>ACEPTADO</v>
      </c>
      <c r="J640" t="str">
        <v>TABOSSI</v>
      </c>
      <c r="K640" t="str">
        <v>PAMI</v>
      </c>
      <c r="L640">
        <v>0</v>
      </c>
    </row>
    <row r="641" spans="2:12" x14ac:dyDescent="0.25">
      <c r="B641" s="20">
        <v>45552</v>
      </c>
      <c r="C641" t="str">
        <v>SOLARO ELSA</v>
      </c>
      <c r="D641">
        <v>79</v>
      </c>
      <c r="E641" t="str">
        <v>GARCIA VITOR</v>
      </c>
      <c r="F641" t="str">
        <v>ARTROSIS DE CADERA</v>
      </c>
      <c r="G641" t="str">
        <v>PTC COTILO DOBLE MOVILIDAD</v>
      </c>
      <c r="H641">
        <v>0</v>
      </c>
      <c r="I641" t="str">
        <v>ACEPTADO</v>
      </c>
      <c r="J641" t="str">
        <v>PARANÁ</v>
      </c>
      <c r="K641" t="str">
        <v>PAMI</v>
      </c>
      <c r="L641">
        <v>0</v>
      </c>
    </row>
    <row r="642" spans="2:12" x14ac:dyDescent="0.25">
      <c r="B642" s="20">
        <v>45553</v>
      </c>
      <c r="C642" t="str">
        <v>KRIVUSESKI LIDIA</v>
      </c>
      <c r="D642">
        <v>74</v>
      </c>
      <c r="E642" t="str">
        <v>CATRIEL GODOY</v>
      </c>
      <c r="F642" t="str">
        <v>RUPTURA DE MAANGUIT</v>
      </c>
      <c r="G642" t="str">
        <v>2 ARPONES 5,0 2 ARPONES 2,5</v>
      </c>
      <c r="H642">
        <v>0</v>
      </c>
      <c r="I642" t="str">
        <v>ACEPTADO</v>
      </c>
      <c r="J642" t="str">
        <v>PARANÁ</v>
      </c>
      <c r="K642" t="str">
        <v>PAMI</v>
      </c>
      <c r="L642">
        <v>0</v>
      </c>
    </row>
    <row r="643" spans="2:12" x14ac:dyDescent="0.25">
      <c r="B643" s="20">
        <v>45553</v>
      </c>
      <c r="C643" t="str">
        <v>MENDOZA ISABEL</v>
      </c>
      <c r="D643">
        <v>61</v>
      </c>
      <c r="E643" t="str">
        <v>MERLINI</v>
      </c>
      <c r="F643" t="str">
        <v>FX MUÑECA</v>
      </c>
      <c r="G643" t="str">
        <v>PLACA EDR BLOQUEADA</v>
      </c>
      <c r="H643">
        <v>0</v>
      </c>
      <c r="I643" t="str">
        <v>ACEPTADO</v>
      </c>
      <c r="J643" t="str">
        <v>PARANÁ</v>
      </c>
      <c r="K643" t="str">
        <v>PAMI</v>
      </c>
      <c r="L643">
        <v>0</v>
      </c>
    </row>
    <row r="644" spans="2:12" x14ac:dyDescent="0.25">
      <c r="B644" s="20">
        <v>45553</v>
      </c>
      <c r="C644" t="str">
        <v>GOMEZ LUIS ALBERTO</v>
      </c>
      <c r="D644">
        <v>77</v>
      </c>
      <c r="E644" t="str">
        <v>SUKSDORF</v>
      </c>
      <c r="F644" t="str">
        <v>GONARTROSIS</v>
      </c>
      <c r="G644" t="str">
        <v>PTR ANATOMICA</v>
      </c>
      <c r="H644">
        <v>0</v>
      </c>
      <c r="I644" t="str">
        <v>ACEPTADO</v>
      </c>
      <c r="J644" t="str">
        <v>PARANÁ</v>
      </c>
      <c r="K644" t="str">
        <v>PAMI</v>
      </c>
      <c r="L644">
        <v>0</v>
      </c>
    </row>
    <row r="645" spans="2:12" x14ac:dyDescent="0.25">
      <c r="B645" s="20">
        <v>45553</v>
      </c>
      <c r="C645" t="str">
        <v>MENA ISIDORO</v>
      </c>
      <c r="D645">
        <v>61</v>
      </c>
      <c r="E645" t="str">
        <v>CESAR MEYNET</v>
      </c>
      <c r="F645" t="str">
        <v>AFLOJAMIENTO DE REVISION</v>
      </c>
      <c r="G645" t="str">
        <v>1 TALLO FEMORAL DE FIJ 1 COTILO NO CEMENTADO 4 UNID DE IJERTO</v>
      </c>
      <c r="H645">
        <v>0</v>
      </c>
      <c r="I645" t="str">
        <v>ACEPTADO</v>
      </c>
      <c r="J645" t="str">
        <v xml:space="preserve">MARIA GRANDE </v>
      </c>
      <c r="K645" t="str">
        <v>S/M</v>
      </c>
      <c r="L645">
        <v>0</v>
      </c>
    </row>
    <row r="646" spans="2:12" x14ac:dyDescent="0.25">
      <c r="B646" s="20">
        <v>45554</v>
      </c>
      <c r="C646" t="str">
        <v>MAYORA LILIANA</v>
      </c>
      <c r="D646">
        <v>48</v>
      </c>
      <c r="E646" t="str">
        <v>JACOB</v>
      </c>
      <c r="F646" t="str">
        <v>4 TORNILLOS PEDICULARES 2 BARRAS 1 CAGE 1DRILL 1 HEMOGEL</v>
      </c>
      <c r="G646">
        <v>0</v>
      </c>
      <c r="H646">
        <v>0</v>
      </c>
      <c r="I646" t="str">
        <v>ACEPTADO</v>
      </c>
      <c r="J646" t="str">
        <v>DIAMANTE</v>
      </c>
      <c r="K646" t="str">
        <v>S/M</v>
      </c>
      <c r="L646">
        <v>0</v>
      </c>
    </row>
    <row r="647" spans="2:12" x14ac:dyDescent="0.25">
      <c r="B647" s="20">
        <v>45554</v>
      </c>
      <c r="C647" t="str">
        <v>ORTIZ JUAN JOSE</v>
      </c>
      <c r="D647">
        <v>0</v>
      </c>
      <c r="E647" t="str">
        <v>STOPELLO</v>
      </c>
      <c r="F647" t="str">
        <v>SISTEA DE RTR</v>
      </c>
      <c r="G647">
        <v>0</v>
      </c>
      <c r="H647">
        <v>0</v>
      </c>
      <c r="I647" t="str">
        <v>ACEPTADO</v>
      </c>
      <c r="J647" t="str">
        <v>PARANÁ</v>
      </c>
      <c r="K647" t="str">
        <v>S/M</v>
      </c>
      <c r="L647">
        <v>0</v>
      </c>
    </row>
    <row r="648" spans="2:12" x14ac:dyDescent="0.25">
      <c r="B648" s="20">
        <v>45554</v>
      </c>
      <c r="C648" t="str">
        <v>sanchez Juan Pablo</v>
      </c>
      <c r="D648">
        <v>15</v>
      </c>
      <c r="E648" t="str">
        <v>UCEDO</v>
      </c>
      <c r="F648" t="str">
        <v>pie equino</v>
      </c>
      <c r="G648" t="str">
        <v>2 set de placas 4 tornillos canulados</v>
      </c>
      <c r="H648">
        <v>0</v>
      </c>
      <c r="I648" t="str">
        <v>ACEPTADO</v>
      </c>
      <c r="J648" t="str">
        <v xml:space="preserve">SANTA ELENA </v>
      </c>
      <c r="K648" t="str">
        <v>S/M</v>
      </c>
      <c r="L648">
        <v>0</v>
      </c>
    </row>
    <row r="649" spans="2:12" x14ac:dyDescent="0.25">
      <c r="B649" s="20">
        <v>45559</v>
      </c>
      <c r="C649" t="str">
        <v>ESPINDOLA DANIELA</v>
      </c>
      <c r="D649">
        <v>36</v>
      </c>
      <c r="E649" t="str">
        <v>GARCIA VITOR</v>
      </c>
      <c r="F649" t="str">
        <v xml:space="preserve">OSTEOSINTESIS </v>
      </c>
      <c r="G649" t="str">
        <v>1 EXTRACTOR DE CLAVO</v>
      </c>
      <c r="H649">
        <v>0</v>
      </c>
      <c r="I649" t="str">
        <v>ACEPTADO</v>
      </c>
      <c r="J649" t="str">
        <v>PARANÁ</v>
      </c>
      <c r="K649" t="str">
        <v>S/M</v>
      </c>
      <c r="L649">
        <v>0</v>
      </c>
    </row>
    <row r="650" spans="2:12" x14ac:dyDescent="0.25">
      <c r="B650" s="20">
        <v>45559</v>
      </c>
      <c r="C650" t="str">
        <v>DA LUZ ROSA</v>
      </c>
      <c r="D650">
        <v>75</v>
      </c>
      <c r="E650" t="str">
        <v>SUKSDORF</v>
      </c>
      <c r="F650" t="str">
        <v>COXARTROSIS</v>
      </c>
      <c r="G650" t="str">
        <v>PTC COTILO DOBLE MOVILIDAD</v>
      </c>
      <c r="H650">
        <v>0</v>
      </c>
      <c r="I650" t="str">
        <v>ACEPTADO</v>
      </c>
      <c r="J650" t="str">
        <v>PARANÁ</v>
      </c>
      <c r="K650" t="str">
        <v>PAMI</v>
      </c>
      <c r="L650">
        <v>0</v>
      </c>
    </row>
    <row r="651" spans="2:12" x14ac:dyDescent="0.25">
      <c r="B651" s="20">
        <v>45560</v>
      </c>
      <c r="C651" t="str">
        <v>RUEDA RAMON</v>
      </c>
      <c r="D651">
        <v>48</v>
      </c>
      <c r="E651" t="str">
        <v xml:space="preserve">HERMIDA </v>
      </c>
      <c r="F651" t="str">
        <v>RUP MANGUITO ROT</v>
      </c>
      <c r="G651" t="str">
        <v>3 ARPONES 3,5</v>
      </c>
      <c r="H651">
        <v>0</v>
      </c>
      <c r="I651" t="str">
        <v>ACEPTADO</v>
      </c>
      <c r="J651" t="str">
        <v>VILLAGUAY</v>
      </c>
      <c r="K651" t="str">
        <v>S/M</v>
      </c>
      <c r="L651">
        <v>0</v>
      </c>
    </row>
    <row r="652" spans="2:12" x14ac:dyDescent="0.25">
      <c r="B652" s="20">
        <v>45560</v>
      </c>
      <c r="C652" t="str">
        <v>ALARCON VERONICA</v>
      </c>
      <c r="D652">
        <v>29</v>
      </c>
      <c r="E652" t="str">
        <v xml:space="preserve">HERMIDA </v>
      </c>
      <c r="F652" t="str">
        <v>LCA</v>
      </c>
      <c r="G652" t="str">
        <v>1 TORNILLO 1 BOTON</v>
      </c>
      <c r="H652">
        <v>0</v>
      </c>
      <c r="I652" t="str">
        <v>ACEPTADO</v>
      </c>
      <c r="J652" t="str">
        <v>HASENKAMP</v>
      </c>
      <c r="K652" t="str">
        <v>S/M</v>
      </c>
      <c r="L652">
        <v>0</v>
      </c>
    </row>
    <row r="653" spans="2:12" x14ac:dyDescent="0.25">
      <c r="B653" s="20">
        <v>45560</v>
      </c>
      <c r="C653" t="str">
        <v>ELLENA LINDA ABRIL</v>
      </c>
      <c r="D653">
        <v>82</v>
      </c>
      <c r="E653" t="str">
        <v>CASERES</v>
      </c>
      <c r="F653" t="str">
        <v xml:space="preserve">FX CADERA </v>
      </c>
      <c r="G653" t="str">
        <v>CLAVO GAMMA CORTO Y LARGO</v>
      </c>
      <c r="H653">
        <v>0</v>
      </c>
      <c r="I653" t="str">
        <v>ACEPTADO</v>
      </c>
      <c r="J653" t="str">
        <v>PARANÁ</v>
      </c>
      <c r="K653" t="str">
        <v>PAMI</v>
      </c>
      <c r="L653">
        <v>0</v>
      </c>
    </row>
    <row r="654" spans="2:12" x14ac:dyDescent="0.25">
      <c r="B654" s="20">
        <v>45560</v>
      </c>
      <c r="C654" t="str">
        <v>MAQUIAVELLO MARIO</v>
      </c>
      <c r="D654">
        <v>67</v>
      </c>
      <c r="E654" t="str">
        <v>CATRIEL GODOY</v>
      </c>
      <c r="F654" t="str">
        <v>SME MANGUITO ROT</v>
      </c>
      <c r="G654" t="str">
        <v>2 ARPONES 5, 0 1 SUTURA DE ALTA RESIST</v>
      </c>
      <c r="H654">
        <v>0</v>
      </c>
      <c r="I654" t="str">
        <v>ACEPTADO</v>
      </c>
      <c r="J654" t="str">
        <v>PARANÁ</v>
      </c>
      <c r="K654" t="str">
        <v>PAMI</v>
      </c>
      <c r="L654">
        <v>0</v>
      </c>
    </row>
    <row r="655" spans="2:12" x14ac:dyDescent="0.25">
      <c r="B655" s="20">
        <v>45560</v>
      </c>
      <c r="C655" t="str">
        <v xml:space="preserve">GOTTIG PEDRO </v>
      </c>
      <c r="D655">
        <v>76</v>
      </c>
      <c r="E655" t="str">
        <v>MERLINI</v>
      </c>
      <c r="F655" t="str">
        <v>FX CADERA IZ</v>
      </c>
      <c r="G655" t="str">
        <v xml:space="preserve">PTC     </v>
      </c>
      <c r="H655">
        <v>0</v>
      </c>
      <c r="I655" t="str">
        <v>ACEPTADO</v>
      </c>
      <c r="J655" t="str">
        <v>PARANÁ</v>
      </c>
      <c r="K655" t="str">
        <v>PAMI</v>
      </c>
      <c r="L655">
        <v>0</v>
      </c>
    </row>
    <row r="656" spans="2:12" x14ac:dyDescent="0.25">
      <c r="B656" s="20">
        <v>45562</v>
      </c>
      <c r="C656" t="str">
        <v>Monzon Diego</v>
      </c>
      <c r="D656">
        <v>38</v>
      </c>
      <c r="E656" t="str">
        <v>YACOMO</v>
      </c>
      <c r="F656" t="str">
        <v>LCA</v>
      </c>
      <c r="G656" t="str">
        <v>1 BOTON 1 TORNILLO</v>
      </c>
      <c r="H656">
        <v>0</v>
      </c>
      <c r="I656" t="str">
        <v>ACEPTADO</v>
      </c>
      <c r="J656" t="str">
        <v>PARANÁ</v>
      </c>
      <c r="K656" t="str">
        <v>S/M</v>
      </c>
      <c r="L656">
        <v>0</v>
      </c>
    </row>
    <row r="657" spans="2:12" x14ac:dyDescent="0.25">
      <c r="B657" s="20">
        <v>45565</v>
      </c>
      <c r="C657" t="str">
        <v>Rodriguez Silvana</v>
      </c>
      <c r="D657">
        <v>71</v>
      </c>
      <c r="E657" t="str">
        <v>CASERES</v>
      </c>
      <c r="F657" t="str">
        <v>fx adera</v>
      </c>
      <c r="G657" t="str">
        <v>CLAVO GAMMA CORTO Y LARGO</v>
      </c>
      <c r="H657">
        <v>0</v>
      </c>
      <c r="I657" t="str">
        <v>ACEPTADO</v>
      </c>
      <c r="J657" t="str">
        <v>Paraná</v>
      </c>
      <c r="K657" t="str">
        <v>PAMI</v>
      </c>
      <c r="L657">
        <v>0</v>
      </c>
    </row>
    <row r="658" spans="2:12" x14ac:dyDescent="0.25">
      <c r="B658" s="20">
        <v>45565</v>
      </c>
      <c r="C658" t="str">
        <v>Allende Juan Ramon</v>
      </c>
      <c r="D658">
        <v>54</v>
      </c>
      <c r="E658" t="str">
        <v>STOPELLO</v>
      </c>
      <c r="F658">
        <v>0</v>
      </c>
      <c r="G658" t="str">
        <v>anillo de burch reemplazo de cadera de rev</v>
      </c>
      <c r="H658">
        <v>0</v>
      </c>
      <c r="I658" t="str">
        <v>ACEPTADO</v>
      </c>
      <c r="J658" t="str">
        <v>SAUCE DE LUNA</v>
      </c>
      <c r="K658" t="str">
        <v>PAMI</v>
      </c>
      <c r="L658" t="str">
        <v xml:space="preserve">  </v>
      </c>
    </row>
    <row r="659" spans="2:12" x14ac:dyDescent="0.25">
      <c r="B659" s="20">
        <v>45566</v>
      </c>
      <c r="C659" t="str">
        <v>Erbes Nelida</v>
      </c>
      <c r="D659">
        <v>66</v>
      </c>
      <c r="E659" t="str">
        <v>UCEDO</v>
      </c>
      <c r="F659" t="str">
        <v>HALLUX VALGUS</v>
      </c>
      <c r="G659" t="str">
        <v>1 T HERBERT 2,7 Y 3 MM 2 CLAVIJAS 2MM Y DOS 1MM</v>
      </c>
      <c r="H659">
        <v>0</v>
      </c>
      <c r="I659" t="str">
        <v>ACEPTADO</v>
      </c>
      <c r="J659" t="str">
        <v>PARANÁ</v>
      </c>
      <c r="K659" t="str">
        <v>S/M</v>
      </c>
      <c r="L659">
        <v>0</v>
      </c>
    </row>
    <row r="660" spans="2:12" x14ac:dyDescent="0.25">
      <c r="B660" s="20">
        <v>45566</v>
      </c>
      <c r="C660" t="str">
        <v>Charpentier  LILIANA</v>
      </c>
      <c r="D660">
        <v>44</v>
      </c>
      <c r="E660" t="str">
        <v>GARCIA VITOR</v>
      </c>
      <c r="F660" t="str">
        <v xml:space="preserve">GENU VARO </v>
      </c>
      <c r="G660" t="str">
        <v>PLACA PUDDU</v>
      </c>
      <c r="H660">
        <v>0</v>
      </c>
      <c r="I660" t="str">
        <v>ACEPTADO</v>
      </c>
      <c r="J660" t="str">
        <v>VICTORIA</v>
      </c>
      <c r="K660" t="str">
        <v>S/M</v>
      </c>
      <c r="L660">
        <v>0</v>
      </c>
    </row>
    <row r="661" spans="2:12" x14ac:dyDescent="0.25">
      <c r="B661" s="20">
        <v>45566</v>
      </c>
      <c r="C661" t="str">
        <v>SMITH ALICIA</v>
      </c>
      <c r="D661">
        <v>70</v>
      </c>
      <c r="E661" t="str">
        <v>CASERES</v>
      </c>
      <c r="F661" t="str">
        <v>CLAVO GAMMA CORTO Y LARGO</v>
      </c>
      <c r="G661">
        <v>0</v>
      </c>
      <c r="H661">
        <v>0</v>
      </c>
      <c r="I661" t="str">
        <v>ACEPTADO</v>
      </c>
      <c r="J661" t="str">
        <v>PARANÁ</v>
      </c>
      <c r="K661" t="str">
        <v>PAMI</v>
      </c>
      <c r="L661">
        <v>0</v>
      </c>
    </row>
    <row r="662" spans="2:12" x14ac:dyDescent="0.25">
      <c r="B662" s="20">
        <v>45566</v>
      </c>
      <c r="C662" t="str">
        <v xml:space="preserve">URSINI AGUEDA </v>
      </c>
      <c r="D662">
        <v>68</v>
      </c>
      <c r="E662" t="str">
        <v>GARCIA VITOR</v>
      </c>
      <c r="F662" t="str">
        <v>OSTEOARTRITIS</v>
      </c>
      <c r="G662" t="str">
        <v>PTC HIBRIDA</v>
      </c>
      <c r="H662">
        <v>0</v>
      </c>
      <c r="I662" t="str">
        <v>ACEPTADO</v>
      </c>
      <c r="J662" t="str">
        <v>PARANÁ</v>
      </c>
      <c r="K662" t="str">
        <v>PAMI</v>
      </c>
      <c r="L662">
        <v>0</v>
      </c>
    </row>
    <row r="663" spans="2:12" x14ac:dyDescent="0.25">
      <c r="B663" s="20">
        <v>45567</v>
      </c>
      <c r="C663" t="str">
        <v xml:space="preserve">GEIST NORMA </v>
      </c>
      <c r="D663">
        <v>74</v>
      </c>
      <c r="E663" t="str">
        <v>GARCIA VITOR</v>
      </c>
      <c r="F663" t="str">
        <v>GONATROSIS</v>
      </c>
      <c r="G663" t="str">
        <v>PTR</v>
      </c>
      <c r="H663">
        <v>0</v>
      </c>
      <c r="I663" t="str">
        <v>ACEPTADO</v>
      </c>
      <c r="J663" t="str">
        <v>PARANÁ</v>
      </c>
      <c r="K663" t="str">
        <v>PAMI</v>
      </c>
      <c r="L663">
        <v>0</v>
      </c>
    </row>
    <row r="664" spans="2:12" x14ac:dyDescent="0.25">
      <c r="B664" s="20">
        <v>45567</v>
      </c>
      <c r="C664" t="str">
        <v>RIOS MARIA</v>
      </c>
      <c r="D664">
        <v>83</v>
      </c>
      <c r="E664" t="str">
        <v>CASERES</v>
      </c>
      <c r="F664" t="str">
        <v>FX FEMUR</v>
      </c>
      <c r="G664" t="str">
        <v>CLAVO ENDOMEDULAR RETROGRADO DE F</v>
      </c>
      <c r="H664">
        <v>0</v>
      </c>
      <c r="I664" t="str">
        <v>ACEPTADO</v>
      </c>
      <c r="J664" t="str">
        <v>PARANÁ</v>
      </c>
      <c r="K664" t="str">
        <v>PAMI</v>
      </c>
      <c r="L664">
        <v>0</v>
      </c>
    </row>
    <row r="665" spans="2:12" x14ac:dyDescent="0.25">
      <c r="B665" s="20">
        <v>45567</v>
      </c>
      <c r="C665" t="str">
        <v>SCHMLER ROSALIA</v>
      </c>
      <c r="D665">
        <v>66</v>
      </c>
      <c r="E665" t="str">
        <v xml:space="preserve">URANGA </v>
      </c>
      <c r="F665" t="str">
        <v xml:space="preserve">FX HUMERO </v>
      </c>
      <c r="G665" t="str">
        <v>CLAVO ENDOMEDULAR DE HUMERO</v>
      </c>
      <c r="H665">
        <v>0</v>
      </c>
      <c r="I665" t="str">
        <v>ACEPTADO</v>
      </c>
      <c r="J665" t="str">
        <v>PARANÁ</v>
      </c>
      <c r="K665" t="str">
        <v>PAMI</v>
      </c>
      <c r="L665">
        <v>0</v>
      </c>
    </row>
    <row r="666" spans="2:12" x14ac:dyDescent="0.25">
      <c r="B666" s="20">
        <v>45567</v>
      </c>
      <c r="C666" t="str">
        <v>SLOMP KARINA</v>
      </c>
      <c r="D666">
        <v>54</v>
      </c>
      <c r="E666" t="str">
        <v>STOPELLO</v>
      </c>
      <c r="F666" t="str">
        <v xml:space="preserve">ARTROSIS DE CADERA </v>
      </c>
      <c r="G666" t="str">
        <v xml:space="preserve"> PTC NO CEMENTAADA</v>
      </c>
      <c r="H666">
        <v>0</v>
      </c>
      <c r="I666" t="str">
        <v>ACEPTADO</v>
      </c>
      <c r="J666" t="str">
        <v>LA PAZ</v>
      </c>
      <c r="K666" t="str">
        <v>PAMI</v>
      </c>
      <c r="L666">
        <v>0</v>
      </c>
    </row>
    <row r="667" spans="2:12" x14ac:dyDescent="0.25">
      <c r="B667" s="20">
        <v>45568</v>
      </c>
      <c r="C667" t="str">
        <v>MARTINEZ TOMASA</v>
      </c>
      <c r="D667">
        <v>68</v>
      </c>
      <c r="E667" t="str">
        <v>GARCIA VITOR</v>
      </c>
      <c r="F667" t="str">
        <v xml:space="preserve">ARTROSIS DE CADERA </v>
      </c>
      <c r="G667" t="str">
        <v xml:space="preserve"> PTC HIBRIDA</v>
      </c>
      <c r="H667">
        <v>0</v>
      </c>
      <c r="I667" t="str">
        <v>ACEPTADO</v>
      </c>
      <c r="J667" t="str">
        <v>PARANÁ</v>
      </c>
      <c r="K667" t="str">
        <v>PAMI</v>
      </c>
      <c r="L667">
        <v>0</v>
      </c>
    </row>
    <row r="668" spans="2:12" x14ac:dyDescent="0.25">
      <c r="B668" s="20">
        <v>45568</v>
      </c>
      <c r="C668" t="str">
        <v>CURVALE GRACIELA</v>
      </c>
      <c r="D668">
        <v>72</v>
      </c>
      <c r="E668" t="str">
        <v>CESAR MEYNET</v>
      </c>
      <c r="F668" t="str">
        <v>GENU VARO</v>
      </c>
      <c r="G668" t="str">
        <v>PTR ABISAGRADA</v>
      </c>
      <c r="H668">
        <v>0</v>
      </c>
      <c r="I668" t="str">
        <v>ACEPTADO</v>
      </c>
      <c r="J668" t="str">
        <v>PARANÁ</v>
      </c>
      <c r="K668" t="str">
        <v>PAMI</v>
      </c>
      <c r="L668">
        <v>0</v>
      </c>
    </row>
    <row r="669" spans="2:12" x14ac:dyDescent="0.25">
      <c r="B669" s="20">
        <v>45568</v>
      </c>
      <c r="C669" t="str">
        <v>ALVAREZ MARIA</v>
      </c>
      <c r="D669">
        <v>70</v>
      </c>
      <c r="E669" t="str">
        <v>GARCIA VITOR</v>
      </c>
      <c r="F669" t="str">
        <v>GONARTROSIS</v>
      </c>
      <c r="G669" t="str">
        <v>PTR</v>
      </c>
      <c r="H669">
        <v>0</v>
      </c>
      <c r="I669" t="str">
        <v>ACEPTADO</v>
      </c>
      <c r="J669" t="str">
        <v>PARANÁ</v>
      </c>
      <c r="K669" t="str">
        <v>PAMI</v>
      </c>
      <c r="L669">
        <v>0</v>
      </c>
    </row>
    <row r="670" spans="2:12" x14ac:dyDescent="0.25">
      <c r="B670" s="20">
        <v>45569</v>
      </c>
      <c r="C670" t="str">
        <v>NETTO RAMON</v>
      </c>
      <c r="D670">
        <v>78</v>
      </c>
      <c r="E670" t="str">
        <v>SUKSDORF</v>
      </c>
      <c r="F670" t="str">
        <v>COXARTROSIS</v>
      </c>
      <c r="G670" t="str">
        <v>PTC HIBRIDA</v>
      </c>
      <c r="H670">
        <v>0</v>
      </c>
      <c r="I670" t="str">
        <v>ACEPTADO</v>
      </c>
      <c r="J670" t="str">
        <v>PARANÁ</v>
      </c>
      <c r="K670" t="str">
        <v>PAMI</v>
      </c>
      <c r="L670">
        <v>0</v>
      </c>
    </row>
    <row r="671" spans="2:12" x14ac:dyDescent="0.25">
      <c r="B671" s="20">
        <v>45569</v>
      </c>
      <c r="C671" t="str">
        <v>KEMMERER MARIA</v>
      </c>
      <c r="D671">
        <v>72</v>
      </c>
      <c r="E671" t="str">
        <v>GARCIA VITOR</v>
      </c>
      <c r="F671" t="str">
        <v>GENU VARO</v>
      </c>
      <c r="G671" t="str">
        <v>PTR IZQUIERDA</v>
      </c>
      <c r="H671">
        <v>0</v>
      </c>
      <c r="I671" t="str">
        <v>ACEPTADO</v>
      </c>
      <c r="J671" t="str">
        <v>PARANÁ</v>
      </c>
      <c r="K671" t="str">
        <v>PAMI</v>
      </c>
      <c r="L671">
        <v>0</v>
      </c>
    </row>
    <row r="672" spans="2:12" x14ac:dyDescent="0.25">
      <c r="B672" s="20">
        <v>45569</v>
      </c>
      <c r="C672" t="str">
        <v>TORTUL GRACIELA</v>
      </c>
      <c r="D672">
        <v>69</v>
      </c>
      <c r="E672" t="str">
        <v>GARCIA VITOR</v>
      </c>
      <c r="F672" t="str">
        <v>PSEUDOARTROSIS</v>
      </c>
      <c r="G672" t="str">
        <v>PLACA CONDILEA PLACA RECONS CLAVO RETROGRADO</v>
      </c>
      <c r="H672">
        <v>0</v>
      </c>
      <c r="I672" t="str">
        <v>ACEPTADO</v>
      </c>
      <c r="J672" t="str">
        <v>PARANÁ</v>
      </c>
      <c r="K672" t="str">
        <v>PAMI</v>
      </c>
      <c r="L672">
        <v>0</v>
      </c>
    </row>
    <row r="673" spans="2:12" x14ac:dyDescent="0.25">
      <c r="B673" s="20">
        <v>45573</v>
      </c>
      <c r="C673" t="str">
        <v xml:space="preserve">ALLENDE JUAN </v>
      </c>
      <c r="D673">
        <v>54</v>
      </c>
      <c r="E673" t="str">
        <v>STOPELLO</v>
      </c>
      <c r="F673" t="str">
        <v>ANILLO DE BURCH RTC DE REVISION</v>
      </c>
      <c r="G673">
        <v>0</v>
      </c>
      <c r="H673">
        <v>0</v>
      </c>
      <c r="I673" t="str">
        <v>ACEPTADO</v>
      </c>
      <c r="J673" t="str">
        <v>PARANÁ</v>
      </c>
      <c r="K673" t="str">
        <v>PAMI</v>
      </c>
      <c r="L673">
        <v>0</v>
      </c>
    </row>
    <row r="674" spans="2:12" x14ac:dyDescent="0.25">
      <c r="B674" s="20">
        <v>45574</v>
      </c>
      <c r="C674" t="str">
        <v>IBARRA MARIA</v>
      </c>
      <c r="D674">
        <v>72</v>
      </c>
      <c r="E674" t="str">
        <v>MERLINI</v>
      </c>
      <c r="F674" t="str">
        <v>FX MUÑECA</v>
      </c>
      <c r="G674" t="str">
        <v>PLACA DOBLE HILERA DISTAL</v>
      </c>
      <c r="H674">
        <v>0</v>
      </c>
      <c r="I674" t="str">
        <v>ACEPTADO</v>
      </c>
      <c r="J674" t="str">
        <v>PARANÁ</v>
      </c>
      <c r="K674" t="str">
        <v>PAMI</v>
      </c>
      <c r="L674">
        <v>0</v>
      </c>
    </row>
    <row r="675" spans="2:12" x14ac:dyDescent="0.25">
      <c r="B675" s="20">
        <v>45574</v>
      </c>
      <c r="C675" t="str">
        <v>SORTINO JUAN JOSE</v>
      </c>
      <c r="D675">
        <v>75</v>
      </c>
      <c r="E675" t="str">
        <v>SUKSDORF</v>
      </c>
      <c r="F675" t="str">
        <v>GONARTROSIS</v>
      </c>
      <c r="G675" t="str">
        <v>PTR</v>
      </c>
      <c r="H675">
        <v>0</v>
      </c>
      <c r="I675" t="str">
        <v>ACEPTADO</v>
      </c>
      <c r="J675" t="str">
        <v>DIAMANTE</v>
      </c>
      <c r="K675" t="str">
        <v>PAMI</v>
      </c>
      <c r="L675">
        <v>0</v>
      </c>
    </row>
    <row r="676" spans="2:12" x14ac:dyDescent="0.25">
      <c r="B676" s="20">
        <v>45574</v>
      </c>
      <c r="C676" t="str">
        <v>Ubal carlos</v>
      </c>
      <c r="D676">
        <v>69</v>
      </c>
      <c r="E676" t="str">
        <v>GARCIA VITOR</v>
      </c>
      <c r="F676" t="str">
        <v>COXARTROSIS</v>
      </c>
      <c r="G676" t="str">
        <v>PTC HIBRIDA</v>
      </c>
      <c r="H676">
        <v>0</v>
      </c>
      <c r="I676" t="str">
        <v>ACEPTADO</v>
      </c>
      <c r="J676" t="str">
        <v>PARANÁ</v>
      </c>
      <c r="K676" t="str">
        <v>PAMI</v>
      </c>
      <c r="L676">
        <v>0</v>
      </c>
    </row>
    <row r="677" spans="2:12" x14ac:dyDescent="0.25">
      <c r="B677" s="20">
        <v>45574</v>
      </c>
      <c r="C677" t="str">
        <v>FERNANDEZ MONICA</v>
      </c>
      <c r="D677">
        <v>67</v>
      </c>
      <c r="E677" t="str">
        <v>STOPELLO</v>
      </c>
      <c r="F677" t="str">
        <v>GONARTROSIS</v>
      </c>
      <c r="G677" t="str">
        <v>PTR CON VASTAGOS Y CUÑAS</v>
      </c>
      <c r="H677">
        <v>0</v>
      </c>
      <c r="I677" t="str">
        <v>ACEPTADO</v>
      </c>
      <c r="J677" t="str">
        <v>PARANÁ</v>
      </c>
      <c r="K677" t="str">
        <v>PAMI</v>
      </c>
      <c r="L677">
        <v>0</v>
      </c>
    </row>
    <row r="678" spans="2:12" x14ac:dyDescent="0.25">
      <c r="B678" s="20">
        <v>45574</v>
      </c>
      <c r="C678" t="str">
        <v>CHIABRANDO MANUEL</v>
      </c>
      <c r="D678">
        <v>66</v>
      </c>
      <c r="E678" t="str">
        <v>CESAR MEYNET</v>
      </c>
      <c r="F678" t="str">
        <v>GENU VALGO</v>
      </c>
      <c r="G678" t="str">
        <v>PTR CON VASTAGO TIBIAL</v>
      </c>
      <c r="H678">
        <v>0</v>
      </c>
      <c r="I678" t="str">
        <v>ACEPTADO</v>
      </c>
      <c r="J678" t="str">
        <v>DIAMANTE</v>
      </c>
      <c r="K678" t="str">
        <v>PAMI</v>
      </c>
      <c r="L678">
        <v>0</v>
      </c>
    </row>
    <row r="679" spans="2:12" x14ac:dyDescent="0.25">
      <c r="B679" s="20">
        <v>45574</v>
      </c>
      <c r="C679" t="str">
        <v xml:space="preserve">RETAMAL NILDA </v>
      </c>
      <c r="D679">
        <v>70</v>
      </c>
      <c r="E679" t="str">
        <v>GARCIA VITOR</v>
      </c>
      <c r="F679" t="str">
        <v>PSEUDOARTROSIS</v>
      </c>
      <c r="G679" t="str">
        <v xml:space="preserve">PTC NO CEMENTADA DE FIJACION DISTAL CONICA </v>
      </c>
      <c r="H679">
        <v>0</v>
      </c>
      <c r="I679" t="str">
        <v>ACEPTADO</v>
      </c>
      <c r="J679" t="str">
        <v>PARANÁ</v>
      </c>
      <c r="K679" t="str">
        <v>PAMI</v>
      </c>
      <c r="L679">
        <v>0</v>
      </c>
    </row>
    <row r="680" spans="2:12" x14ac:dyDescent="0.25">
      <c r="B680" s="20">
        <v>45575</v>
      </c>
      <c r="C680" t="str">
        <v>RAMIREZ MIRTA</v>
      </c>
      <c r="D680">
        <v>0</v>
      </c>
      <c r="E680" t="str">
        <v>GARCIA VITOR</v>
      </c>
      <c r="F680" t="str">
        <v>COXARTROSIS</v>
      </c>
      <c r="G680" t="str">
        <v>PTC NO CEMENTADA COTILO MULTIPERFORADO TALLO PULIDO ESPEJO</v>
      </c>
      <c r="H680">
        <v>0</v>
      </c>
      <c r="I680" t="str">
        <v>ACEPTADO</v>
      </c>
      <c r="J680" t="str">
        <v>PARANÁ</v>
      </c>
      <c r="K680" t="str">
        <v>PAMI</v>
      </c>
      <c r="L680">
        <v>0</v>
      </c>
    </row>
    <row r="681" spans="2:12" x14ac:dyDescent="0.25">
      <c r="B681" s="20">
        <v>45579</v>
      </c>
      <c r="C681" t="str">
        <v>LORENZO ANA</v>
      </c>
      <c r="D681">
        <v>78</v>
      </c>
      <c r="E681" t="str">
        <v>MERLINI</v>
      </c>
      <c r="F681" t="str">
        <v>FX CADERA</v>
      </c>
      <c r="G681" t="str">
        <v>THOMPSON</v>
      </c>
      <c r="H681" t="str">
        <v>VILLALBA</v>
      </c>
      <c r="I681" t="str">
        <v>ACEPTADO</v>
      </c>
      <c r="J681" t="str">
        <v>PARANÁ</v>
      </c>
      <c r="K681" t="str">
        <v>PAMI</v>
      </c>
      <c r="L681">
        <v>0</v>
      </c>
    </row>
    <row r="682" spans="2:12" x14ac:dyDescent="0.25">
      <c r="B682" s="20">
        <v>45579</v>
      </c>
      <c r="C682" t="str">
        <v>GAITAN  MARIA DEL CARMEN</v>
      </c>
      <c r="D682">
        <v>62</v>
      </c>
      <c r="E682" t="str">
        <v>UCEDO</v>
      </c>
      <c r="F682" t="str">
        <v>HALLUX V</v>
      </c>
      <c r="G682" t="str">
        <v>1T BAROUK 1 CUNULADOS 2 CLAVIJAS 2,0 2 CLAVIJAS 1,5 MM</v>
      </c>
      <c r="H682">
        <v>0</v>
      </c>
      <c r="I682" t="str">
        <v>ACEPTADO</v>
      </c>
      <c r="J682" t="str">
        <v>PARANÁ</v>
      </c>
      <c r="K682" t="str">
        <v>PAMI</v>
      </c>
      <c r="L682">
        <v>0</v>
      </c>
    </row>
    <row r="683" spans="2:12" x14ac:dyDescent="0.25">
      <c r="B683" s="20">
        <v>45580</v>
      </c>
      <c r="C683" t="str">
        <v>MENA CELIA</v>
      </c>
      <c r="D683">
        <v>78</v>
      </c>
      <c r="E683" t="str">
        <v>MERLINI</v>
      </c>
      <c r="F683" t="str">
        <v>FX MUÑECA</v>
      </c>
      <c r="G683" t="str">
        <v>PLACA EDR DOBLE HILERA</v>
      </c>
      <c r="H683" t="str">
        <v>VILLALBA</v>
      </c>
      <c r="I683" t="str">
        <v>ACEPTADO</v>
      </c>
      <c r="J683" t="str">
        <v>PARANÁ</v>
      </c>
      <c r="K683" t="str">
        <v>PAMI</v>
      </c>
      <c r="L683">
        <v>0</v>
      </c>
    </row>
    <row r="684" spans="2:12" x14ac:dyDescent="0.25">
      <c r="B684" s="20">
        <v>45580</v>
      </c>
      <c r="C684" t="str">
        <v>MILDENBERGER ADELINA</v>
      </c>
      <c r="D684">
        <v>76</v>
      </c>
      <c r="E684">
        <v>0</v>
      </c>
      <c r="F684" t="str">
        <v>GENU VARO</v>
      </c>
      <c r="G684" t="str">
        <v>PTR</v>
      </c>
      <c r="H684">
        <v>0</v>
      </c>
      <c r="I684" t="str">
        <v>ACEPTADO</v>
      </c>
      <c r="J684" t="str">
        <v>PARANÁ</v>
      </c>
      <c r="K684" t="str">
        <v>PAMI</v>
      </c>
      <c r="L684">
        <v>0</v>
      </c>
    </row>
    <row r="685" spans="2:12" x14ac:dyDescent="0.25">
      <c r="B685" s="20">
        <v>45580</v>
      </c>
      <c r="C685" t="str">
        <v>GRANDOLI DORA</v>
      </c>
      <c r="D685">
        <v>77</v>
      </c>
      <c r="E685" t="str">
        <v>NARVAEZ</v>
      </c>
      <c r="F685" t="str">
        <v>HALLUX</v>
      </c>
      <c r="G685" t="str">
        <v>1 PLACA B 1 TORNILLO H</v>
      </c>
      <c r="H685">
        <v>0</v>
      </c>
      <c r="I685" t="str">
        <v>ACEPTADO</v>
      </c>
      <c r="J685" t="str">
        <v>PARANÁ</v>
      </c>
      <c r="K685" t="str">
        <v>PAMI</v>
      </c>
      <c r="L685">
        <v>0</v>
      </c>
    </row>
    <row r="686" spans="2:12" x14ac:dyDescent="0.25">
      <c r="B686" s="20">
        <v>45580</v>
      </c>
      <c r="C686" t="str">
        <v>MAYDANA LUIS</v>
      </c>
      <c r="D686">
        <v>68</v>
      </c>
      <c r="E686" t="str">
        <v>CESAR MEYNET</v>
      </c>
      <c r="F686" t="str">
        <v>COXARTROSIS</v>
      </c>
      <c r="G686" t="str">
        <v>PTC COTILO NO CEMENTADO</v>
      </c>
      <c r="H686">
        <v>0</v>
      </c>
      <c r="I686" t="str">
        <v>ACEPTADO</v>
      </c>
      <c r="J686" t="str">
        <v>PARANÁ</v>
      </c>
      <c r="K686" t="str">
        <v>PAMI</v>
      </c>
      <c r="L686">
        <v>0</v>
      </c>
    </row>
    <row r="687" spans="2:12" x14ac:dyDescent="0.25">
      <c r="B687" s="20">
        <v>45583</v>
      </c>
      <c r="C687" t="str">
        <v>RETAMAL ROSA</v>
      </c>
      <c r="D687">
        <v>61</v>
      </c>
      <c r="E687" t="str">
        <v>MERLINI</v>
      </c>
      <c r="F687" t="str">
        <v>FX CADERA</v>
      </c>
      <c r="G687" t="str">
        <v>CLAVO GAMMA CORTO Y LARGO</v>
      </c>
      <c r="H687">
        <v>0</v>
      </c>
      <c r="I687" t="str">
        <v>ACEPTADO</v>
      </c>
      <c r="J687" t="str">
        <v>PARANÁ</v>
      </c>
      <c r="K687" t="str">
        <v>PAMI</v>
      </c>
      <c r="L687">
        <v>0</v>
      </c>
    </row>
    <row r="688" spans="2:12" x14ac:dyDescent="0.25">
      <c r="B688" s="20">
        <v>45584</v>
      </c>
      <c r="C688" t="str">
        <v>Caceres Jeremias</v>
      </c>
      <c r="D688">
        <v>24</v>
      </c>
      <c r="E688" t="str">
        <v>GARCIA VITOR</v>
      </c>
      <c r="F688" t="str">
        <v>INESTABILIDAD ANTERIOR DE RODILLA</v>
      </c>
      <c r="G688" t="str">
        <v>1 BOTON AUTOAJUSTABLE 2 T DE TITANIO ROSCA ROMA 1 PUNTA SHAVER 1 P RADIO</v>
      </c>
      <c r="H688">
        <v>0</v>
      </c>
      <c r="I688" t="str">
        <v>ACEPTADO</v>
      </c>
      <c r="J688">
        <v>0</v>
      </c>
      <c r="K688" t="str">
        <v>S/M</v>
      </c>
      <c r="L688">
        <v>0</v>
      </c>
    </row>
    <row r="689" spans="2:12" x14ac:dyDescent="0.25">
      <c r="B689" s="20">
        <v>45586</v>
      </c>
      <c r="C689" t="str">
        <v xml:space="preserve">Pereyra Geronima </v>
      </c>
      <c r="D689">
        <v>88</v>
      </c>
      <c r="E689" t="str">
        <v>MERLINI</v>
      </c>
      <c r="F689" t="str">
        <v>fx cadera</v>
      </c>
      <c r="G689" t="str">
        <v>CLAVO GAMMA CORTO Y LARGO</v>
      </c>
      <c r="H689">
        <v>0</v>
      </c>
      <c r="I689" t="str">
        <v>ACEPTADO</v>
      </c>
      <c r="J689" t="str">
        <v>PARANÁ</v>
      </c>
      <c r="K689" t="str">
        <v>PAMI</v>
      </c>
      <c r="L689">
        <v>0</v>
      </c>
    </row>
    <row r="690" spans="2:12" x14ac:dyDescent="0.25">
      <c r="B690" s="20">
        <v>45586</v>
      </c>
      <c r="C690" t="str">
        <v>MENA NORMA</v>
      </c>
      <c r="D690">
        <v>66</v>
      </c>
      <c r="E690" t="str">
        <v>MERLINI</v>
      </c>
      <c r="F690" t="str">
        <v>FX CADERA</v>
      </c>
      <c r="G690" t="str">
        <v>CLAVO GAMMA CORTO Y LARGO</v>
      </c>
      <c r="H690">
        <v>0</v>
      </c>
      <c r="I690" t="str">
        <v>ACEPTADO</v>
      </c>
      <c r="J690" t="str">
        <v>PARANÁ</v>
      </c>
      <c r="K690" t="str">
        <v>PAMI</v>
      </c>
      <c r="L690">
        <v>0</v>
      </c>
    </row>
    <row r="691" spans="2:12" x14ac:dyDescent="0.25">
      <c r="B691" s="20">
        <v>45587</v>
      </c>
      <c r="C691" t="str">
        <v>SUAREZ NORA</v>
      </c>
      <c r="D691">
        <v>64</v>
      </c>
      <c r="E691">
        <v>0</v>
      </c>
      <c r="F691" t="str">
        <v>RTR IZQUIERDA</v>
      </c>
      <c r="G691" t="str">
        <v>GENU VARO</v>
      </c>
      <c r="H691">
        <v>0</v>
      </c>
      <c r="I691" t="str">
        <v>ACEPTADO</v>
      </c>
      <c r="J691" t="str">
        <v>PARANÁ</v>
      </c>
      <c r="K691" t="str">
        <v>PAMI</v>
      </c>
      <c r="L691">
        <v>0</v>
      </c>
    </row>
    <row r="692" spans="2:12" x14ac:dyDescent="0.25">
      <c r="B692" s="20">
        <v>45587</v>
      </c>
      <c r="C692" t="str">
        <v>KOBS JULIO</v>
      </c>
      <c r="D692">
        <v>56</v>
      </c>
      <c r="E692" t="str">
        <v>GARCIA VITOR</v>
      </c>
      <c r="F692" t="str">
        <v>INFECCION PROTESICA</v>
      </c>
      <c r="G692" t="str">
        <v>SET PARA EXTRACCION</v>
      </c>
      <c r="H692">
        <v>0</v>
      </c>
      <c r="I692" t="str">
        <v>ACEPTADO</v>
      </c>
      <c r="J692" t="str">
        <v>PARANÁ</v>
      </c>
      <c r="K692" t="str">
        <v>PAMI</v>
      </c>
      <c r="L692">
        <v>0</v>
      </c>
    </row>
    <row r="693" spans="2:12" x14ac:dyDescent="0.25">
      <c r="B693" s="20">
        <v>45588</v>
      </c>
      <c r="C693" t="str">
        <v xml:space="preserve">Gazagne Libertad </v>
      </c>
      <c r="D693">
        <v>82</v>
      </c>
      <c r="E693" t="str">
        <v>MERLINI</v>
      </c>
      <c r="F693" t="str">
        <v>Fx cadera</v>
      </c>
      <c r="G693" t="str">
        <v>ptc thompson</v>
      </c>
      <c r="H693">
        <v>0</v>
      </c>
      <c r="I693" t="str">
        <v>ACEPTADO</v>
      </c>
      <c r="J693" t="str">
        <v>PARANÁ</v>
      </c>
      <c r="K693" t="str">
        <v>PAMI</v>
      </c>
      <c r="L693">
        <v>0</v>
      </c>
    </row>
    <row r="694" spans="2:12" x14ac:dyDescent="0.25">
      <c r="B694" s="20">
        <v>45589</v>
      </c>
      <c r="C694" t="str">
        <v>ACOSTA ALICIA</v>
      </c>
      <c r="D694">
        <v>68</v>
      </c>
      <c r="E694" t="str">
        <v>YACOMO</v>
      </c>
      <c r="F694" t="str">
        <v>ARTROSCOPIA</v>
      </c>
      <c r="G694" t="str">
        <v>PUNTA DE SHAVER 4,5</v>
      </c>
      <c r="H694">
        <v>0</v>
      </c>
      <c r="I694" t="str">
        <v>ACEPTADO</v>
      </c>
      <c r="J694" t="str">
        <v>PARANÁ</v>
      </c>
      <c r="K694" t="str">
        <v>PAMI</v>
      </c>
      <c r="L694">
        <v>0</v>
      </c>
    </row>
    <row r="695" spans="2:12" x14ac:dyDescent="0.25">
      <c r="B695" s="20">
        <v>45589</v>
      </c>
      <c r="C695" t="str">
        <v>MACIAS GABRIEL</v>
      </c>
      <c r="D695">
        <v>54</v>
      </c>
      <c r="E695" t="str">
        <v>CESAR MEYNET</v>
      </c>
      <c r="F695" t="str">
        <v>COXARTROSIS</v>
      </c>
      <c r="G695" t="str">
        <v>PTC NO CEMENTADA</v>
      </c>
      <c r="H695">
        <v>0</v>
      </c>
      <c r="I695" t="str">
        <v>ACEPTADO</v>
      </c>
      <c r="J695" t="str">
        <v>PARANÁ</v>
      </c>
      <c r="K695" t="str">
        <v>S/M</v>
      </c>
      <c r="L695">
        <v>0</v>
      </c>
    </row>
    <row r="696" spans="2:12" x14ac:dyDescent="0.25">
      <c r="B696" s="20">
        <v>45590</v>
      </c>
      <c r="C696" t="str">
        <v>BATTAGLIERO ERNESTO</v>
      </c>
      <c r="D696">
        <v>64</v>
      </c>
      <c r="E696" t="str">
        <v>GARCIA VITOR</v>
      </c>
      <c r="F696" t="str">
        <v>INFECCION EN CIRUGIA</v>
      </c>
      <c r="G696">
        <v>0</v>
      </c>
      <c r="H696">
        <v>0</v>
      </c>
      <c r="I696" t="str">
        <v>ACEPTADO</v>
      </c>
      <c r="J696" t="str">
        <v>PARANÁ</v>
      </c>
      <c r="K696" t="str">
        <v>PAMI</v>
      </c>
      <c r="L696">
        <v>0</v>
      </c>
    </row>
    <row r="697" spans="2:12" x14ac:dyDescent="0.25">
      <c r="B697" s="20">
        <v>45593</v>
      </c>
      <c r="C697" t="str">
        <v>Rodriguez Franco</v>
      </c>
      <c r="D697">
        <v>28</v>
      </c>
      <c r="E697" t="str">
        <v>PELEGRINI</v>
      </c>
      <c r="F697" t="str">
        <v>LCA</v>
      </c>
      <c r="G697" t="str">
        <v>1 BOTON 1 TORNILO INT</v>
      </c>
      <c r="H697">
        <v>0</v>
      </c>
      <c r="I697" t="str">
        <v>ACEPTADO</v>
      </c>
      <c r="J697" t="str">
        <v>Gualeguay</v>
      </c>
      <c r="K697" t="str">
        <v>S/M</v>
      </c>
      <c r="L697">
        <v>0</v>
      </c>
    </row>
    <row r="698" spans="2:12" x14ac:dyDescent="0.25">
      <c r="B698" s="20">
        <v>45593</v>
      </c>
      <c r="C698" t="str">
        <v>Iarce Gerardo</v>
      </c>
      <c r="D698">
        <v>45</v>
      </c>
      <c r="E698" t="str">
        <v>PELEGRINI</v>
      </c>
      <c r="F698" t="str">
        <v>LCA</v>
      </c>
      <c r="G698" t="str">
        <v>1 BOTON 1 TORNILO INT</v>
      </c>
      <c r="H698">
        <v>0</v>
      </c>
      <c r="I698" t="str">
        <v>ACEPTADO</v>
      </c>
      <c r="J698" t="str">
        <v>Gualeguay</v>
      </c>
      <c r="K698" t="str">
        <v>S/M</v>
      </c>
      <c r="L698">
        <v>0</v>
      </c>
    </row>
    <row r="699" spans="2:12" x14ac:dyDescent="0.25">
      <c r="B699" s="20">
        <v>45593</v>
      </c>
      <c r="C699" t="str">
        <v>Zarate Brian</v>
      </c>
      <c r="D699">
        <v>26</v>
      </c>
      <c r="E699" t="str">
        <v>PELEGRINI</v>
      </c>
      <c r="F699" t="str">
        <v>LCA</v>
      </c>
      <c r="G699" t="str">
        <v>1 BOTON 1 TORNILO INT</v>
      </c>
      <c r="H699">
        <v>0</v>
      </c>
      <c r="I699" t="str">
        <v>ACEPTADO</v>
      </c>
      <c r="J699" t="str">
        <v>Gualeguay</v>
      </c>
      <c r="K699" t="str">
        <v>S/M</v>
      </c>
      <c r="L699">
        <v>0</v>
      </c>
    </row>
    <row r="700" spans="2:12" x14ac:dyDescent="0.25">
      <c r="B700" s="20">
        <v>45593</v>
      </c>
      <c r="C700" t="str">
        <v>Godoy Rosalia</v>
      </c>
      <c r="D700">
        <v>53</v>
      </c>
      <c r="E700" t="str">
        <v>MERLINI</v>
      </c>
      <c r="F700" t="str">
        <v>Fx de humero</v>
      </c>
      <c r="G700" t="str">
        <v>1 Placa Philos 3,5</v>
      </c>
      <c r="H700">
        <v>0</v>
      </c>
      <c r="I700" t="str">
        <v>ACEPTADO</v>
      </c>
      <c r="J700">
        <v>0</v>
      </c>
      <c r="K700" t="str">
        <v>S/M</v>
      </c>
      <c r="L700">
        <v>0</v>
      </c>
    </row>
    <row r="701" spans="2:12" x14ac:dyDescent="0.25">
      <c r="B701" s="20">
        <v>45595</v>
      </c>
      <c r="C701" t="str">
        <v>Echengue Horacio</v>
      </c>
      <c r="D701">
        <v>41</v>
      </c>
      <c r="E701" t="str">
        <v>CATRIEL GODOY</v>
      </c>
      <c r="F701" t="str">
        <v xml:space="preserve">luxacion </v>
      </c>
      <c r="G701" t="str">
        <v>1 endobutton  2 sutura de alta resistencia</v>
      </c>
      <c r="H701">
        <v>0</v>
      </c>
      <c r="I701" t="str">
        <v>ACEPTADO</v>
      </c>
      <c r="J701" t="str">
        <v>PARANÁ</v>
      </c>
      <c r="K701" t="str">
        <v>S/M</v>
      </c>
      <c r="L701">
        <v>0</v>
      </c>
    </row>
    <row r="702" spans="2:12" x14ac:dyDescent="0.25">
      <c r="B702" s="20">
        <v>45595</v>
      </c>
      <c r="C702" t="str">
        <v>Kecher Santiago</v>
      </c>
      <c r="D702">
        <v>16</v>
      </c>
      <c r="E702" t="str">
        <v xml:space="preserve">HERMIDA </v>
      </c>
      <c r="F702" t="str">
        <v>1 Boton 1 Tornillo</v>
      </c>
      <c r="G702" t="str">
        <v>LCA</v>
      </c>
      <c r="H702">
        <v>0</v>
      </c>
      <c r="I702" t="str">
        <v>ACEPTADO</v>
      </c>
      <c r="J702" t="str">
        <v>Paraná</v>
      </c>
      <c r="K702" t="str">
        <v>S/M</v>
      </c>
      <c r="L702">
        <v>0</v>
      </c>
    </row>
    <row r="703" spans="2:12" x14ac:dyDescent="0.25">
      <c r="B703" s="20">
        <v>45595</v>
      </c>
      <c r="C703" t="str">
        <v>Martinez Angelina</v>
      </c>
      <c r="D703">
        <v>59</v>
      </c>
      <c r="E703" t="str">
        <v>CATRIEL GODOY</v>
      </c>
      <c r="F703" t="str">
        <v xml:space="preserve">RTR   </v>
      </c>
      <c r="G703" t="str">
        <v>GONARTROSIS</v>
      </c>
      <c r="H703">
        <v>0</v>
      </c>
      <c r="I703" t="str">
        <v>ACEPTADO</v>
      </c>
      <c r="J703">
        <v>0</v>
      </c>
      <c r="K703" t="str">
        <v>S/M</v>
      </c>
      <c r="L703">
        <v>0</v>
      </c>
    </row>
    <row r="704" spans="2:12" x14ac:dyDescent="0.25">
      <c r="B704" s="20">
        <v>45595</v>
      </c>
      <c r="C704" t="str">
        <v>Aracenas Moreno Hugo</v>
      </c>
      <c r="D704">
        <v>27</v>
      </c>
      <c r="E704" t="str">
        <v xml:space="preserve">HERMIDA </v>
      </c>
      <c r="F704" t="str">
        <v>LCA</v>
      </c>
      <c r="G704" t="str">
        <v>1BOTON 1 Tornillo</v>
      </c>
      <c r="H704">
        <v>0</v>
      </c>
      <c r="I704" t="str">
        <v>ACEPTADO</v>
      </c>
      <c r="J704" t="str">
        <v>villaguay</v>
      </c>
      <c r="K704" t="str">
        <v>S/M</v>
      </c>
      <c r="L704">
        <v>0</v>
      </c>
    </row>
    <row r="705" spans="2:12" x14ac:dyDescent="0.25">
      <c r="B705" s="20">
        <v>45596</v>
      </c>
      <c r="C705" t="str">
        <v xml:space="preserve">Minetti Miguel </v>
      </c>
      <c r="D705">
        <v>54</v>
      </c>
      <c r="E705" t="str">
        <v>YACOMO</v>
      </c>
      <c r="F705" t="str">
        <v>Genu Varo</v>
      </c>
      <c r="G705" t="str">
        <v>1 Placa puddu</v>
      </c>
      <c r="H705">
        <v>0</v>
      </c>
      <c r="I705" t="str">
        <v>ACEPTADO</v>
      </c>
      <c r="J705" t="str">
        <v>Paraná</v>
      </c>
      <c r="K705" t="str">
        <v>S/M</v>
      </c>
      <c r="L705">
        <v>0</v>
      </c>
    </row>
    <row r="706" spans="2:12" x14ac:dyDescent="0.25">
      <c r="B706" s="20">
        <v>45596</v>
      </c>
      <c r="C706" t="str">
        <v>Castillo Norma</v>
      </c>
      <c r="D706">
        <v>55</v>
      </c>
      <c r="E706" t="str">
        <v>CESAR MEYNET</v>
      </c>
      <c r="F706" t="str">
        <v>Coxartrosis</v>
      </c>
      <c r="G706" t="str">
        <v>1 PTC NO CEMENTADA</v>
      </c>
      <c r="H706">
        <v>0</v>
      </c>
      <c r="I706" t="str">
        <v>ACEPTADO</v>
      </c>
      <c r="J706" t="str">
        <v>LA PAZ</v>
      </c>
      <c r="K706" t="str">
        <v>S/M</v>
      </c>
      <c r="L706">
        <v>0</v>
      </c>
    </row>
    <row r="707" spans="2:12" x14ac:dyDescent="0.25">
      <c r="B707" s="20">
        <v>45596</v>
      </c>
      <c r="C707" t="str">
        <v>Rios Nadia</v>
      </c>
      <c r="D707">
        <v>34</v>
      </c>
      <c r="E707" t="str">
        <v>YACOMO</v>
      </c>
      <c r="F707" t="str">
        <v>INESTABILIDAD EN VARO</v>
      </c>
      <c r="G707" t="str">
        <v>1 SET DE EXTRACCIO PARA CLAVO DE TIBIA</v>
      </c>
      <c r="H707">
        <v>0</v>
      </c>
      <c r="I707" t="str">
        <v>ACEPTADO</v>
      </c>
      <c r="J707" t="str">
        <v>PARANÁ</v>
      </c>
      <c r="K707" t="str">
        <v>S/M</v>
      </c>
      <c r="L707">
        <v>0</v>
      </c>
    </row>
    <row r="708" spans="2:12" x14ac:dyDescent="0.25">
      <c r="B708" s="20">
        <v>45596</v>
      </c>
      <c r="C708" t="str">
        <v>MENA JAVIER</v>
      </c>
      <c r="D708">
        <v>25</v>
      </c>
      <c r="E708" t="str">
        <v>YACOMO</v>
      </c>
      <c r="F708" t="str">
        <v>LCA</v>
      </c>
      <c r="G708" t="str">
        <v>1 BOTON 1 TORNILLO</v>
      </c>
      <c r="H708">
        <v>0</v>
      </c>
      <c r="I708" t="str">
        <v>ACEPTADO</v>
      </c>
      <c r="J708" t="str">
        <v>BOVRIL</v>
      </c>
      <c r="K708" t="str">
        <v>S/M</v>
      </c>
      <c r="L708">
        <v>0</v>
      </c>
    </row>
    <row r="709" spans="2:12" x14ac:dyDescent="0.25">
      <c r="B709" s="20">
        <v>45596</v>
      </c>
      <c r="C709" t="str">
        <v xml:space="preserve">RODRIGUEZ ELISA </v>
      </c>
      <c r="D709">
        <v>0</v>
      </c>
      <c r="E709" t="str">
        <v>YACOMO</v>
      </c>
      <c r="F709" t="str">
        <v>LCA</v>
      </c>
      <c r="G709" t="str">
        <v>1 BOTON 1 TORNILLO</v>
      </c>
      <c r="H709">
        <v>0</v>
      </c>
      <c r="I709" t="str">
        <v>ACEPTADO</v>
      </c>
      <c r="J709" t="str">
        <v>PARANÁ</v>
      </c>
      <c r="K709" t="str">
        <v>S/M</v>
      </c>
      <c r="L709">
        <v>0</v>
      </c>
    </row>
    <row r="710" spans="2:12" x14ac:dyDescent="0.25">
      <c r="B710" s="20">
        <v>45597</v>
      </c>
      <c r="C710" t="str">
        <v>OLIVERA GUSTAVO</v>
      </c>
      <c r="D710">
        <v>57</v>
      </c>
      <c r="E710" t="str">
        <v xml:space="preserve">URANGA </v>
      </c>
      <c r="F710" t="str">
        <v>INESTABILIDAD VERTEBRAL</v>
      </c>
      <c r="G710" t="str">
        <v>4 TORNILLO 2 BARRAS 1 PLIF 1 SUSTITUTO OSEO</v>
      </c>
      <c r="H710">
        <v>0</v>
      </c>
      <c r="I710" t="str">
        <v>ACEPTADO</v>
      </c>
      <c r="J710" t="str">
        <v>GUALEGUAYCHU</v>
      </c>
      <c r="K710" t="str">
        <v>S/M</v>
      </c>
      <c r="L710">
        <v>0</v>
      </c>
    </row>
    <row r="711" spans="2:12" x14ac:dyDescent="0.25">
      <c r="B711" s="20">
        <v>45597</v>
      </c>
      <c r="C711" t="str">
        <v>Sosa Hector</v>
      </c>
      <c r="D711">
        <v>69</v>
      </c>
      <c r="E711" t="str">
        <v>STOPELLO</v>
      </c>
      <c r="F711" t="str">
        <v>Coxartrosis</v>
      </c>
      <c r="G711" t="str">
        <v>ptc de revision no cementada</v>
      </c>
      <c r="H711">
        <v>0</v>
      </c>
      <c r="I711" t="str">
        <v>ACEPTADO</v>
      </c>
      <c r="J711" t="str">
        <v>PARANÁ</v>
      </c>
      <c r="K711" t="str">
        <v>PAMI</v>
      </c>
      <c r="L711">
        <v>0</v>
      </c>
    </row>
    <row r="712" spans="2:12" x14ac:dyDescent="0.25">
      <c r="B712" s="20">
        <v>45597</v>
      </c>
      <c r="C712" t="str">
        <v xml:space="preserve">Villalba Gloria </v>
      </c>
      <c r="D712">
        <v>67</v>
      </c>
      <c r="E712" t="str">
        <v>STOPELLO</v>
      </c>
      <c r="F712" t="str">
        <v>Gonartrosis</v>
      </c>
      <c r="G712" t="str">
        <v>RTR</v>
      </c>
      <c r="H712">
        <v>0</v>
      </c>
      <c r="I712" t="str">
        <v>ACEPTADO</v>
      </c>
      <c r="J712" t="str">
        <v>PARANÁ</v>
      </c>
      <c r="K712" t="str">
        <v>PAMI</v>
      </c>
      <c r="L712">
        <v>0</v>
      </c>
    </row>
    <row r="713" spans="2:12" x14ac:dyDescent="0.25">
      <c r="B713" s="20">
        <v>45597</v>
      </c>
      <c r="C713" t="str">
        <v xml:space="preserve">Gomez Cristina </v>
      </c>
      <c r="D713">
        <v>62</v>
      </c>
      <c r="E713" t="str">
        <v xml:space="preserve">HERMIDA </v>
      </c>
      <c r="F713" t="str">
        <v>Fx muñeca</v>
      </c>
      <c r="G713" t="str">
        <v>placa edr hilera distal 2,7/3,5</v>
      </c>
      <c r="H713">
        <v>0</v>
      </c>
      <c r="I713" t="str">
        <v>ACEPTADO</v>
      </c>
      <c r="J713" t="str">
        <v>PARANÁ</v>
      </c>
      <c r="K713" t="str">
        <v>PAMI</v>
      </c>
      <c r="L713">
        <v>0</v>
      </c>
    </row>
    <row r="714" spans="2:12" x14ac:dyDescent="0.25">
      <c r="B714" s="20">
        <v>45597</v>
      </c>
      <c r="C714" t="str">
        <v>Rios Ramona</v>
      </c>
      <c r="D714">
        <v>84</v>
      </c>
      <c r="E714" t="str">
        <v xml:space="preserve">URANGA </v>
      </c>
      <c r="F714" t="str">
        <v>Fx cadera</v>
      </c>
      <c r="G714" t="str">
        <v>clavo gamma corto y largo</v>
      </c>
      <c r="H714">
        <v>0</v>
      </c>
      <c r="I714" t="str">
        <v>ACEPTADO</v>
      </c>
      <c r="J714" t="str">
        <v>PARANÁ</v>
      </c>
      <c r="K714" t="str">
        <v>PAMI</v>
      </c>
      <c r="L714">
        <v>0</v>
      </c>
    </row>
    <row r="715" spans="2:12" x14ac:dyDescent="0.25">
      <c r="B715" s="20">
        <v>45598</v>
      </c>
      <c r="C715" t="str">
        <v>TARABINI ELVIRA</v>
      </c>
      <c r="D715">
        <v>66</v>
      </c>
      <c r="E715" t="str">
        <v xml:space="preserve">URANGA </v>
      </c>
      <c r="F715" t="str">
        <v>FX CADERA</v>
      </c>
      <c r="G715" t="str">
        <v>1 PLACA DE FEMUR LCP 1 PLAA EN T 4,5 TORNILLOS CANULADOS</v>
      </c>
      <c r="H715">
        <v>0</v>
      </c>
      <c r="I715" t="str">
        <v>ACEPTADO</v>
      </c>
      <c r="J715" t="str">
        <v>PARANÁ</v>
      </c>
      <c r="K715" t="str">
        <v>PAMI</v>
      </c>
      <c r="L715">
        <v>0</v>
      </c>
    </row>
    <row r="716" spans="2:12" x14ac:dyDescent="0.25">
      <c r="B716" s="20">
        <v>45600</v>
      </c>
      <c r="C716" t="str">
        <v>SPINI BRIAN</v>
      </c>
      <c r="D716">
        <v>18</v>
      </c>
      <c r="E716" t="str">
        <v>UCEDO</v>
      </c>
      <c r="F716" t="str">
        <v>1 PLACA 2,0 LCP 1 PLACA  2,7 1 PLACA 3,5 MM</v>
      </c>
      <c r="G716">
        <v>0</v>
      </c>
      <c r="H716">
        <v>0</v>
      </c>
      <c r="I716" t="str">
        <v>ACEPTADO</v>
      </c>
      <c r="J716" t="str">
        <v>PARANÁ</v>
      </c>
      <c r="K716" t="str">
        <v>S/M</v>
      </c>
      <c r="L716">
        <v>0</v>
      </c>
    </row>
    <row r="717" spans="2:12" x14ac:dyDescent="0.25">
      <c r="B717" s="20">
        <v>45600</v>
      </c>
      <c r="C717" t="str">
        <v>LINDAO MARY</v>
      </c>
      <c r="D717">
        <v>38</v>
      </c>
      <c r="E717" t="str">
        <v>PELEGRINI</v>
      </c>
      <c r="F717" t="str">
        <v>1 BOTON 1 TORNILLO</v>
      </c>
      <c r="G717" t="str">
        <v>LCA</v>
      </c>
      <c r="H717">
        <v>0</v>
      </c>
      <c r="I717" t="str">
        <v>ACEPTADO</v>
      </c>
      <c r="J717" t="str">
        <v>GUALEGUAY</v>
      </c>
      <c r="K717" t="str">
        <v>S/M</v>
      </c>
      <c r="L717">
        <v>0</v>
      </c>
    </row>
    <row r="718" spans="2:12" x14ac:dyDescent="0.25">
      <c r="B718" s="20">
        <v>45601</v>
      </c>
      <c r="C718" t="str">
        <v>Romero Esteban</v>
      </c>
      <c r="D718">
        <v>53</v>
      </c>
      <c r="E718" t="str">
        <v>UCEDO</v>
      </c>
      <c r="F718" t="str">
        <v>PROTESIS DE RODILLA</v>
      </c>
      <c r="G718" t="str">
        <v>AMPUTACION SUPRACONDILEA</v>
      </c>
      <c r="H718">
        <v>0</v>
      </c>
      <c r="I718" t="str">
        <v>ACEPTADO</v>
      </c>
      <c r="J718" t="str">
        <v>PARANÁ</v>
      </c>
      <c r="K718" t="str">
        <v>S/M</v>
      </c>
      <c r="L718">
        <v>0</v>
      </c>
    </row>
    <row r="719" spans="2:12" x14ac:dyDescent="0.25">
      <c r="B719" s="20">
        <v>45601</v>
      </c>
      <c r="C719" t="str">
        <v>BERGARA LIASAR</v>
      </c>
      <c r="D719">
        <v>70</v>
      </c>
      <c r="E719">
        <v>0</v>
      </c>
      <c r="F719" t="str">
        <v>PTR IZQUIERDA</v>
      </c>
      <c r="G719" t="str">
        <v>GENU VARO</v>
      </c>
      <c r="H719">
        <v>0</v>
      </c>
      <c r="I719" t="str">
        <v>ACEPTADO</v>
      </c>
      <c r="J719" t="str">
        <v>PARANÁ</v>
      </c>
      <c r="K719" t="str">
        <v>PAMI</v>
      </c>
      <c r="L719">
        <v>0</v>
      </c>
    </row>
    <row r="720" spans="2:12" x14ac:dyDescent="0.25">
      <c r="B720" s="20">
        <v>45602</v>
      </c>
      <c r="C720" t="str">
        <v>Rodriguez Lidia</v>
      </c>
      <c r="D720">
        <v>63</v>
      </c>
      <c r="E720">
        <v>0</v>
      </c>
      <c r="F720" t="str">
        <v>Gonartrosis</v>
      </c>
      <c r="G720" t="str">
        <v xml:space="preserve">PTR </v>
      </c>
      <c r="H720">
        <v>0</v>
      </c>
      <c r="I720" t="str">
        <v>ACEPTADO</v>
      </c>
      <c r="J720" t="str">
        <v>VIALE</v>
      </c>
      <c r="K720" t="str">
        <v>PAMI</v>
      </c>
      <c r="L720">
        <v>0</v>
      </c>
    </row>
    <row r="721" spans="2:12" x14ac:dyDescent="0.25">
      <c r="B721" s="20">
        <v>45602</v>
      </c>
      <c r="C721" t="str">
        <v>LOPEZ JORGE</v>
      </c>
      <c r="D721">
        <v>71</v>
      </c>
      <c r="E721" t="str">
        <v xml:space="preserve">URANGA </v>
      </c>
      <c r="F721" t="str">
        <v>CLAVO ENDOMEDULAR</v>
      </c>
      <c r="G721" t="str">
        <v>FX DE HUMERO</v>
      </c>
      <c r="H721">
        <v>0</v>
      </c>
      <c r="I721" t="str">
        <v>ACEPTADO</v>
      </c>
      <c r="J721" t="str">
        <v>PARANÁ</v>
      </c>
      <c r="K721" t="str">
        <v>PAMI</v>
      </c>
      <c r="L721">
        <v>0</v>
      </c>
    </row>
    <row r="722" spans="2:12" x14ac:dyDescent="0.25">
      <c r="B722" s="20">
        <v>45602</v>
      </c>
      <c r="C722" t="str">
        <v>MARTINEZ LIDIA</v>
      </c>
      <c r="D722">
        <v>63</v>
      </c>
      <c r="E722" t="str">
        <v>CATRIEL GODOY</v>
      </c>
      <c r="F722" t="str">
        <v>GONARTROSIS</v>
      </c>
      <c r="G722" t="str">
        <v>PTR DERECHA</v>
      </c>
      <c r="H722">
        <v>0</v>
      </c>
      <c r="I722" t="str">
        <v>ACEPTADO</v>
      </c>
      <c r="J722" t="str">
        <v>ALCARAZ</v>
      </c>
      <c r="K722" t="str">
        <v>PAMI</v>
      </c>
      <c r="L722">
        <v>0</v>
      </c>
    </row>
    <row r="723" spans="2:12" x14ac:dyDescent="0.25">
      <c r="B723" s="20">
        <v>45602</v>
      </c>
      <c r="C723" t="str">
        <v>DAMONTE LAUTARO</v>
      </c>
      <c r="D723">
        <v>33</v>
      </c>
      <c r="E723" t="str">
        <v xml:space="preserve">URANGA </v>
      </c>
      <c r="F723" t="str">
        <v xml:space="preserve">FX FEMUR </v>
      </c>
      <c r="G723" t="str">
        <v>1 GAMMA 1 T CANULADO 3,5 MM</v>
      </c>
      <c r="H723">
        <v>0</v>
      </c>
      <c r="I723" t="str">
        <v>ACEPTADO</v>
      </c>
      <c r="J723" t="str">
        <v>PARANÁ</v>
      </c>
      <c r="K723" t="str">
        <v>S/M</v>
      </c>
      <c r="L723">
        <v>0</v>
      </c>
    </row>
    <row r="724" spans="2:12" x14ac:dyDescent="0.25">
      <c r="B724" s="20">
        <v>45603</v>
      </c>
      <c r="C724" t="str">
        <v>Arce Andres</v>
      </c>
      <c r="D724">
        <v>42</v>
      </c>
      <c r="E724" t="str">
        <v>YACOMO</v>
      </c>
      <c r="F724" t="str">
        <v>1 BOTON 1 TORNILLO</v>
      </c>
      <c r="G724" t="str">
        <v>LCA</v>
      </c>
      <c r="H724">
        <v>0</v>
      </c>
      <c r="I724" t="str">
        <v>ACEPTADO</v>
      </c>
      <c r="J724" t="str">
        <v>Paraná</v>
      </c>
      <c r="K724" t="str">
        <v>S/M</v>
      </c>
      <c r="L724">
        <v>0</v>
      </c>
    </row>
    <row r="725" spans="2:12" x14ac:dyDescent="0.25">
      <c r="B725" s="20">
        <v>45603</v>
      </c>
      <c r="C725" t="str">
        <v>BAEZ MARIA</v>
      </c>
      <c r="D725">
        <v>72</v>
      </c>
      <c r="E725" t="str">
        <v xml:space="preserve">URANGA </v>
      </c>
      <c r="F725" t="str">
        <v>FX PROXIMAL DE HUMERO</v>
      </c>
      <c r="G725" t="str">
        <v>1 PLACA PHILOS 1 TORNILLO CANU 3,5 4.5 Y 6.5</v>
      </c>
      <c r="H725">
        <v>0</v>
      </c>
      <c r="I725" t="str">
        <v>ACEPTADO</v>
      </c>
      <c r="J725" t="str">
        <v>PARANÁ</v>
      </c>
      <c r="K725" t="str">
        <v>PAMI</v>
      </c>
      <c r="L725">
        <v>0</v>
      </c>
    </row>
    <row r="726" spans="2:12" x14ac:dyDescent="0.25">
      <c r="B726" s="20">
        <v>45604</v>
      </c>
      <c r="C726" t="str">
        <v>Soñez Angel</v>
      </c>
      <c r="D726">
        <v>54</v>
      </c>
      <c r="E726" t="str">
        <v xml:space="preserve">URANGA </v>
      </c>
      <c r="F726" t="str">
        <v>Diastasis sinfisis</v>
      </c>
      <c r="G726" t="str">
        <v>5 placas 3,5 4,5 1 t canulado 4,5 1 t cortical 3,5 4,5 1 set de pelvis</v>
      </c>
      <c r="H726">
        <v>0</v>
      </c>
      <c r="I726" t="str">
        <v>ACEPTADO</v>
      </c>
      <c r="J726" t="str">
        <v>PARANÁ</v>
      </c>
      <c r="K726" t="str">
        <v>PAMI</v>
      </c>
      <c r="L726">
        <v>0</v>
      </c>
    </row>
    <row r="727" spans="2:12" x14ac:dyDescent="0.25">
      <c r="B727" s="20">
        <v>45604</v>
      </c>
      <c r="C727" t="str">
        <v>Loss Raquel</v>
      </c>
      <c r="D727">
        <v>67</v>
      </c>
      <c r="E727" t="str">
        <v>GARCIA VITOR</v>
      </c>
      <c r="F727" t="str">
        <v>gonalgia</v>
      </c>
      <c r="G727" t="str">
        <v xml:space="preserve">PTR </v>
      </c>
      <c r="H727">
        <v>0</v>
      </c>
      <c r="I727" t="str">
        <v>ACEPTADO</v>
      </c>
      <c r="J727" t="str">
        <v>PARANÁ</v>
      </c>
      <c r="K727" t="str">
        <v>PAMI</v>
      </c>
      <c r="L727">
        <v>0</v>
      </c>
    </row>
    <row r="728" spans="2:12" x14ac:dyDescent="0.25">
      <c r="B728" s="20">
        <v>45607</v>
      </c>
      <c r="C728" t="str">
        <v>CHAVEZ SANDRA</v>
      </c>
      <c r="D728">
        <v>52</v>
      </c>
      <c r="E728" t="str">
        <v>PELEGRINI</v>
      </c>
      <c r="F728" t="str">
        <v>LCA</v>
      </c>
      <c r="G728" t="str">
        <v>1 BOTON 1 TORNILLO</v>
      </c>
      <c r="H728">
        <v>0</v>
      </c>
      <c r="I728" t="str">
        <v>ACEPTADO</v>
      </c>
      <c r="J728" t="str">
        <v>LA PAZ</v>
      </c>
      <c r="K728" t="str">
        <v>S/M</v>
      </c>
      <c r="L728">
        <v>0</v>
      </c>
    </row>
    <row r="729" spans="2:12" x14ac:dyDescent="0.25">
      <c r="B729" s="20">
        <v>45607</v>
      </c>
      <c r="C729" t="str">
        <v>Alfaro Ceferina</v>
      </c>
      <c r="D729">
        <v>82</v>
      </c>
      <c r="E729" t="str">
        <v xml:space="preserve">URANGA </v>
      </c>
      <c r="F729" t="str">
        <v>fx cadera</v>
      </c>
      <c r="G729" t="str">
        <v>clavo gamma   largo</v>
      </c>
      <c r="H729">
        <v>0</v>
      </c>
      <c r="I729" t="str">
        <v>ACEPTADO</v>
      </c>
      <c r="J729" t="str">
        <v>PARANÁ</v>
      </c>
      <c r="K729" t="str">
        <v>PAMI</v>
      </c>
      <c r="L729">
        <v>0</v>
      </c>
    </row>
    <row r="730" spans="2:12" x14ac:dyDescent="0.25">
      <c r="B730" s="20">
        <v>45608</v>
      </c>
      <c r="C730" t="str">
        <v>Metz Roger</v>
      </c>
      <c r="D730">
        <v>45</v>
      </c>
      <c r="E730" t="str">
        <v>THEAUX</v>
      </c>
      <c r="F730" t="str">
        <v>Fx cadera</v>
      </c>
      <c r="G730" t="str">
        <v>ptc no cementada</v>
      </c>
      <c r="H730">
        <v>0</v>
      </c>
      <c r="I730" t="str">
        <v>ACEPTADO</v>
      </c>
      <c r="J730" t="str">
        <v>Paraná</v>
      </c>
      <c r="K730" t="str">
        <v>S/M</v>
      </c>
      <c r="L730">
        <v>0</v>
      </c>
    </row>
    <row r="731" spans="2:12" x14ac:dyDescent="0.25">
      <c r="B731" s="20">
        <v>45608</v>
      </c>
      <c r="C731" t="str">
        <v>Maldonado Alexis</v>
      </c>
      <c r="D731">
        <v>35</v>
      </c>
      <c r="E731" t="str">
        <v>VENTURI</v>
      </c>
      <c r="F731">
        <v>0</v>
      </c>
      <c r="G731" t="str">
        <v xml:space="preserve">1 TORNILLO TIPO BAROUK </v>
      </c>
      <c r="H731">
        <v>0</v>
      </c>
      <c r="I731" t="str">
        <v>ACEPTADO</v>
      </c>
      <c r="J731" t="str">
        <v>LUCAS GONZALEZ</v>
      </c>
      <c r="K731" t="str">
        <v>S/M</v>
      </c>
      <c r="L731">
        <v>0</v>
      </c>
    </row>
    <row r="732" spans="2:12" x14ac:dyDescent="0.25">
      <c r="B732" s="20">
        <v>45608</v>
      </c>
      <c r="C732" t="str">
        <v>Marchioli Carlos</v>
      </c>
      <c r="D732">
        <v>67</v>
      </c>
      <c r="E732" t="str">
        <v>VENTURI</v>
      </c>
      <c r="F732" t="str">
        <v>artrosis</v>
      </c>
      <c r="G732" t="str">
        <v>ptr anatomica</v>
      </c>
      <c r="H732">
        <v>0</v>
      </c>
      <c r="I732" t="str">
        <v>ACEPTADO</v>
      </c>
      <c r="J732" t="str">
        <v>PARANÁ</v>
      </c>
      <c r="K732" t="str">
        <v>PAMI</v>
      </c>
      <c r="L732">
        <v>0</v>
      </c>
    </row>
    <row r="733" spans="2:12" x14ac:dyDescent="0.25">
      <c r="B733" s="20">
        <v>45608</v>
      </c>
      <c r="C733" t="str">
        <v>Breccia Mirta</v>
      </c>
      <c r="D733">
        <v>77</v>
      </c>
      <c r="E733" t="str">
        <v>GARCIA VITOR</v>
      </c>
      <c r="F733" t="str">
        <v>OSTEOARTRITIS DE CADERA</v>
      </c>
      <c r="G733" t="str">
        <v>PTC CEMENTADA COTILO DOBLE MOV</v>
      </c>
      <c r="H733">
        <v>0</v>
      </c>
      <c r="I733" t="str">
        <v>ACEPTADO</v>
      </c>
      <c r="J733" t="str">
        <v>PARANÁ</v>
      </c>
      <c r="K733" t="str">
        <v>PAMI</v>
      </c>
      <c r="L733">
        <v>0</v>
      </c>
    </row>
    <row r="734" spans="2:12" x14ac:dyDescent="0.25">
      <c r="B734" s="20">
        <v>45609</v>
      </c>
      <c r="C734" t="str">
        <v>Fernandez Virginia</v>
      </c>
      <c r="D734">
        <v>47</v>
      </c>
      <c r="E734" t="str">
        <v>SUKSDORF</v>
      </c>
      <c r="F734" t="str">
        <v>luxofractura de humero</v>
      </c>
      <c r="G734">
        <v>0</v>
      </c>
      <c r="H734">
        <v>0</v>
      </c>
      <c r="I734" t="str">
        <v>ACEPTADO</v>
      </c>
      <c r="J734" t="str">
        <v>Paraná</v>
      </c>
      <c r="K734" t="str">
        <v>S/M</v>
      </c>
      <c r="L734">
        <v>0</v>
      </c>
    </row>
    <row r="735" spans="2:12" x14ac:dyDescent="0.25">
      <c r="B735" s="20">
        <v>45610</v>
      </c>
      <c r="C735" t="str">
        <v>Gonzalez Juan</v>
      </c>
      <c r="D735">
        <v>45</v>
      </c>
      <c r="E735" t="str">
        <v>CESAR MEYNET</v>
      </c>
      <c r="F735" t="str">
        <v>coxalgia</v>
      </c>
      <c r="G735" t="str">
        <v xml:space="preserve">1 ptc no cementada </v>
      </c>
      <c r="H735">
        <v>0</v>
      </c>
      <c r="I735" t="str">
        <v>ACEPTADO</v>
      </c>
      <c r="J735" t="str">
        <v>Paraná</v>
      </c>
      <c r="K735" t="str">
        <v>S/M</v>
      </c>
      <c r="L735">
        <v>0</v>
      </c>
    </row>
    <row r="736" spans="2:12" x14ac:dyDescent="0.25">
      <c r="B736" s="20">
        <v>45610</v>
      </c>
      <c r="C736" t="str">
        <v>ACOSTA FERNANDO</v>
      </c>
      <c r="D736">
        <v>31</v>
      </c>
      <c r="E736" t="str">
        <v>YACOMO</v>
      </c>
      <c r="F736">
        <v>0</v>
      </c>
      <c r="G736" t="str">
        <v>1 BOTON 1 TORNILLO PUNTA DE SHAVER</v>
      </c>
      <c r="H736">
        <v>0</v>
      </c>
      <c r="I736" t="str">
        <v>ACEPTADO</v>
      </c>
      <c r="J736" t="str">
        <v>CRESPO</v>
      </c>
      <c r="K736" t="str">
        <v>S/M</v>
      </c>
      <c r="L736">
        <v>0</v>
      </c>
    </row>
    <row r="737" spans="2:12" x14ac:dyDescent="0.25">
      <c r="B737" s="20">
        <v>45611</v>
      </c>
      <c r="C737" t="str">
        <v>Arzamendia Rodolfo</v>
      </c>
      <c r="D737">
        <v>54</v>
      </c>
      <c r="E737" t="str">
        <v>THEAUX</v>
      </c>
      <c r="F737" t="str">
        <v>Genu Varo</v>
      </c>
      <c r="G737" t="str">
        <v>1 ptr cementada</v>
      </c>
      <c r="H737">
        <v>0</v>
      </c>
      <c r="I737" t="str">
        <v>ACEPTADO</v>
      </c>
      <c r="J737" t="str">
        <v>PARANÁ</v>
      </c>
      <c r="K737" t="str">
        <v>S/M</v>
      </c>
      <c r="L737">
        <v>0</v>
      </c>
    </row>
    <row r="738" spans="2:12" x14ac:dyDescent="0.25">
      <c r="B738" s="20">
        <v>45611</v>
      </c>
      <c r="C738" t="str">
        <v>Aguilar Juan</v>
      </c>
      <c r="D738">
        <v>60</v>
      </c>
      <c r="E738" t="str">
        <v xml:space="preserve">URANGA </v>
      </c>
      <c r="F738" t="str">
        <v>Diastasis sinfisis</v>
      </c>
      <c r="G738" t="str">
        <v>5 placas 3,5 4,5 1 t canulado 4,5 1 t cortical 3,5 4,5 1 set de pelvis</v>
      </c>
      <c r="H738">
        <v>0</v>
      </c>
      <c r="I738" t="str">
        <v>ACEPTADO</v>
      </c>
      <c r="J738" t="str">
        <v>PARANÁ</v>
      </c>
      <c r="K738" t="str">
        <v>PAMI</v>
      </c>
      <c r="L738">
        <v>0</v>
      </c>
    </row>
    <row r="739" spans="2:12" x14ac:dyDescent="0.25">
      <c r="B739" s="20">
        <v>45611</v>
      </c>
      <c r="C739" t="str">
        <v>Ramirez Victor</v>
      </c>
      <c r="D739">
        <v>63</v>
      </c>
      <c r="E739" t="str">
        <v xml:space="preserve">URANGA </v>
      </c>
      <c r="F739" t="str">
        <v xml:space="preserve">Fx femur </v>
      </c>
      <c r="G739" t="str">
        <v>1Placa condilea para femur 4,5 1 clavo retrogrado</v>
      </c>
      <c r="H739">
        <v>0</v>
      </c>
      <c r="I739" t="str">
        <v>ACEPTADO</v>
      </c>
      <c r="J739" t="str">
        <v>PARANÁ</v>
      </c>
      <c r="K739" t="str">
        <v>PAMI</v>
      </c>
      <c r="L739">
        <v>0</v>
      </c>
    </row>
    <row r="740" spans="2:12" x14ac:dyDescent="0.25">
      <c r="B740" s="20">
        <v>45611</v>
      </c>
      <c r="C740" t="str">
        <v>MOLINA MARIA</v>
      </c>
      <c r="D740">
        <v>66</v>
      </c>
      <c r="E740" t="str">
        <v xml:space="preserve">URANGA </v>
      </c>
      <c r="F740" t="str">
        <v>FX PERONE</v>
      </c>
      <c r="G740" t="str">
        <v>1 PLACA TERCIO TUBO</v>
      </c>
      <c r="H740">
        <v>0</v>
      </c>
      <c r="I740" t="str">
        <v>ACEPTADO</v>
      </c>
      <c r="J740" t="str">
        <v>PARANÁ</v>
      </c>
      <c r="K740" t="str">
        <v>PAMI</v>
      </c>
      <c r="L740">
        <v>0</v>
      </c>
    </row>
    <row r="741" spans="2:12" x14ac:dyDescent="0.25">
      <c r="B741" s="20">
        <v>45616</v>
      </c>
      <c r="C741" t="str">
        <v>GODETTI MARIA</v>
      </c>
      <c r="D741">
        <v>0</v>
      </c>
      <c r="E741" t="str">
        <v xml:space="preserve">URANGA </v>
      </c>
      <c r="F741" t="str">
        <v>FX DE MUÑECA</v>
      </c>
      <c r="G741" t="str">
        <v>PLACA edr hilera distal 2,7/3,5</v>
      </c>
      <c r="H741">
        <v>0</v>
      </c>
      <c r="I741" t="str">
        <v>ACEPTADO</v>
      </c>
      <c r="J741" t="str">
        <v>PARANÁ</v>
      </c>
      <c r="K741" t="str">
        <v>PAMI</v>
      </c>
      <c r="L741">
        <v>0</v>
      </c>
    </row>
    <row r="742" spans="2:12" x14ac:dyDescent="0.25">
      <c r="B742" s="20">
        <v>45616</v>
      </c>
      <c r="C742" t="str">
        <v>GOMEZ PATRICIA</v>
      </c>
      <c r="D742">
        <v>50</v>
      </c>
      <c r="E742" t="str">
        <v>JACOB</v>
      </c>
      <c r="F742" t="str">
        <v>INESTABILIDAD LUMBAR</v>
      </c>
      <c r="G742" t="str">
        <v>1CAGE1DOSIS DE SUSTITUTO 1 SIST DE COLOCACON A PRESTAMO P EVOCADOS</v>
      </c>
      <c r="H742">
        <v>0</v>
      </c>
      <c r="I742" t="str">
        <v>ACEPTADO</v>
      </c>
      <c r="J742">
        <v>0</v>
      </c>
      <c r="K742" t="str">
        <v>S/M</v>
      </c>
      <c r="L742">
        <v>0</v>
      </c>
    </row>
    <row r="743" spans="2:12" x14ac:dyDescent="0.25">
      <c r="B743" s="20">
        <v>45616</v>
      </c>
      <c r="C743" t="str">
        <v>RAU JEREMIAS</v>
      </c>
      <c r="D743">
        <v>22</v>
      </c>
      <c r="E743" t="str">
        <v>CATRIEL GODOY</v>
      </c>
      <c r="F743" t="str">
        <v>PSEUDOATROSIS</v>
      </c>
      <c r="G743" t="str">
        <v>1 TUTOR EXTERNO PARA TIBIA</v>
      </c>
      <c r="H743">
        <v>0</v>
      </c>
      <c r="I743" t="str">
        <v>ACEPTADO</v>
      </c>
      <c r="J743" t="str">
        <v>LUCAS GONZALEZ</v>
      </c>
      <c r="K743" t="str">
        <v>S/M</v>
      </c>
      <c r="L743">
        <v>0</v>
      </c>
    </row>
    <row r="744" spans="2:12" x14ac:dyDescent="0.25">
      <c r="B744" s="20">
        <v>45616</v>
      </c>
      <c r="C744" t="str">
        <v xml:space="preserve">Colman Gonzalo </v>
      </c>
      <c r="D744">
        <v>31</v>
      </c>
      <c r="E744" t="str">
        <v>CATRIEL GODOY</v>
      </c>
      <c r="F744" t="str">
        <v>FX DE RADIO Y CUBITO</v>
      </c>
      <c r="G744" t="str">
        <v>1 PLACA DCP 3.5</v>
      </c>
      <c r="H744">
        <v>0</v>
      </c>
      <c r="I744" t="str">
        <v>ACEPTADO</v>
      </c>
      <c r="J744" t="str">
        <v>GRAL RAMIREZ</v>
      </c>
      <c r="K744" t="str">
        <v>S/M</v>
      </c>
      <c r="L744">
        <v>0</v>
      </c>
    </row>
    <row r="745" spans="2:12" x14ac:dyDescent="0.25">
      <c r="B745" s="20">
        <v>45616</v>
      </c>
      <c r="C745" t="str">
        <v>SANABRIA MATIAS</v>
      </c>
      <c r="D745">
        <v>35</v>
      </c>
      <c r="E745" t="str">
        <v>MERLINI</v>
      </c>
      <c r="F745" t="str">
        <v>FX ESPINA TIBIAL DERECHA</v>
      </c>
      <c r="G745" t="str">
        <v>2 SUTURAS 1 GUIA 1 ATRAPA SUT 1 SIST ANC 1 MECHA CAN 1 BOTON</v>
      </c>
      <c r="H745">
        <v>0</v>
      </c>
      <c r="I745" t="str">
        <v>ACEPTADO</v>
      </c>
      <c r="J745">
        <v>0</v>
      </c>
      <c r="K745" t="str">
        <v>S/M</v>
      </c>
      <c r="L745">
        <v>0</v>
      </c>
    </row>
    <row r="746" spans="2:12" x14ac:dyDescent="0.25">
      <c r="B746" s="20">
        <v>45616</v>
      </c>
      <c r="C746" t="str">
        <v>SILVA ISIDRA</v>
      </c>
      <c r="D746">
        <v>82</v>
      </c>
      <c r="E746" t="str">
        <v xml:space="preserve">URANGA </v>
      </c>
      <c r="F746" t="str">
        <v>PTC THOMPSON</v>
      </c>
      <c r="G746" t="str">
        <v>FX CADERA IZQ</v>
      </c>
      <c r="H746">
        <v>0</v>
      </c>
      <c r="I746" t="str">
        <v>ACEPTADO</v>
      </c>
      <c r="J746" t="str">
        <v>PARANÁ</v>
      </c>
      <c r="K746" t="str">
        <v>PAMI</v>
      </c>
      <c r="L746">
        <v>0</v>
      </c>
    </row>
    <row r="747" spans="2:12" x14ac:dyDescent="0.25">
      <c r="B747" s="20">
        <v>45616</v>
      </c>
      <c r="C747" t="str">
        <v>COUDRON NOEMI</v>
      </c>
      <c r="D747">
        <v>94</v>
      </c>
      <c r="E747" t="str">
        <v xml:space="preserve">URANGA </v>
      </c>
      <c r="F747" t="str">
        <v>PTC THOMPSON</v>
      </c>
      <c r="G747" t="str">
        <v>FX CADERA IZQ</v>
      </c>
      <c r="H747">
        <v>0</v>
      </c>
      <c r="I747" t="str">
        <v>ACEPTADO</v>
      </c>
      <c r="J747" t="str">
        <v>PARANÁ</v>
      </c>
      <c r="K747" t="str">
        <v>PAMI</v>
      </c>
      <c r="L747">
        <v>0</v>
      </c>
    </row>
    <row r="748" spans="2:12" x14ac:dyDescent="0.25">
      <c r="B748" s="20">
        <v>45616</v>
      </c>
      <c r="C748" t="str">
        <v>LOPEZ ANTONIO</v>
      </c>
      <c r="D748">
        <v>77</v>
      </c>
      <c r="E748" t="str">
        <v xml:space="preserve">URANGA </v>
      </c>
      <c r="F748" t="str">
        <v>ESPACIADOR</v>
      </c>
      <c r="G748" t="str">
        <v>INFECCION EN SITIO QX</v>
      </c>
      <c r="H748">
        <v>0</v>
      </c>
      <c r="I748" t="str">
        <v>ACEPTADO</v>
      </c>
      <c r="J748" t="str">
        <v>PARANÁ</v>
      </c>
      <c r="K748" t="str">
        <v>PAMI</v>
      </c>
      <c r="L748">
        <v>0</v>
      </c>
    </row>
    <row r="749" spans="2:12" x14ac:dyDescent="0.25">
      <c r="B749" s="20">
        <v>45616</v>
      </c>
      <c r="C749" t="str">
        <v>ESCOBAR SILVANA</v>
      </c>
      <c r="D749">
        <v>44</v>
      </c>
      <c r="E749" t="str">
        <v>COLLOMB</v>
      </c>
      <c r="F749" t="str">
        <v>RUP TENDON</v>
      </c>
      <c r="G749" t="str">
        <v xml:space="preserve">2 ARPONES </v>
      </c>
      <c r="H749">
        <v>0</v>
      </c>
      <c r="I749" t="str">
        <v>ACEPTADO</v>
      </c>
      <c r="J749" t="str">
        <v>CRESPO</v>
      </c>
      <c r="K749" t="str">
        <v>S/M</v>
      </c>
      <c r="L749">
        <v>0</v>
      </c>
    </row>
    <row r="750" spans="2:12" x14ac:dyDescent="0.25">
      <c r="B750" s="20">
        <v>45616</v>
      </c>
      <c r="C750" t="str">
        <v>SANTA CRUZ NICOLAS</v>
      </c>
      <c r="D750">
        <v>25</v>
      </c>
      <c r="E750" t="str">
        <v>CESAR MEYNET</v>
      </c>
      <c r="F750" t="str">
        <v>LCA</v>
      </c>
      <c r="G750" t="str">
        <v>1 BOTON 1 TORNILLO</v>
      </c>
      <c r="H750">
        <v>0</v>
      </c>
      <c r="I750" t="str">
        <v>ACEPTADO</v>
      </c>
      <c r="J750" t="str">
        <v xml:space="preserve">SANTA ELENA </v>
      </c>
      <c r="K750" t="str">
        <v>S/M</v>
      </c>
      <c r="L750">
        <v>0</v>
      </c>
    </row>
    <row r="751" spans="2:12" x14ac:dyDescent="0.25">
      <c r="B751" s="20">
        <v>45617</v>
      </c>
      <c r="C751" t="str">
        <v>MIÑO LUCRECIA</v>
      </c>
      <c r="D751">
        <v>0</v>
      </c>
      <c r="E751" t="str">
        <v>GARCIA VITOR</v>
      </c>
      <c r="F751" t="str">
        <v>LUXACION DE CADERA</v>
      </c>
      <c r="G751" t="str">
        <v>ptc no cementada</v>
      </c>
      <c r="H751">
        <v>0</v>
      </c>
      <c r="I751" t="str">
        <v>ACEPTADO</v>
      </c>
      <c r="J751" t="str">
        <v>SEGUI</v>
      </c>
      <c r="K751" t="str">
        <v>S/M</v>
      </c>
      <c r="L751">
        <v>0</v>
      </c>
    </row>
    <row r="752" spans="2:12" x14ac:dyDescent="0.25">
      <c r="B752" s="20">
        <v>45617</v>
      </c>
      <c r="C752" t="str">
        <v>GEA SANCHEZ JOSE</v>
      </c>
      <c r="D752">
        <v>47</v>
      </c>
      <c r="E752" t="str">
        <v>YACOMO</v>
      </c>
      <c r="F752">
        <v>0</v>
      </c>
      <c r="G752" t="str">
        <v>3 ARPONES 5MM</v>
      </c>
      <c r="H752">
        <v>0</v>
      </c>
      <c r="I752" t="str">
        <v>ACEPTADO</v>
      </c>
      <c r="J752" t="str">
        <v>PARANÁ</v>
      </c>
      <c r="K752" t="str">
        <v>S/M</v>
      </c>
      <c r="L752">
        <v>0</v>
      </c>
    </row>
    <row r="753" spans="2:12" x14ac:dyDescent="0.25">
      <c r="B753" s="20">
        <v>45617</v>
      </c>
      <c r="C753" t="str">
        <v>Lescano Mari</v>
      </c>
      <c r="D753">
        <v>89</v>
      </c>
      <c r="E753" t="str">
        <v xml:space="preserve">URANGA </v>
      </c>
      <c r="F753" t="str">
        <v>Fx proximal de humero</v>
      </c>
      <c r="G753" t="str">
        <v>1 placa philos 1 t cnulados 3,4 4,5 6,5 mm</v>
      </c>
      <c r="H753">
        <v>0</v>
      </c>
      <c r="I753" t="str">
        <v>ACEPTADO</v>
      </c>
      <c r="J753" t="str">
        <v>PARANÁ</v>
      </c>
      <c r="K753" t="str">
        <v>PAMI</v>
      </c>
      <c r="L753">
        <v>0</v>
      </c>
    </row>
    <row r="754" spans="2:12" x14ac:dyDescent="0.25">
      <c r="B754" s="20">
        <v>45618</v>
      </c>
      <c r="C754" t="str">
        <v>BERNINI MARIA</v>
      </c>
      <c r="D754">
        <v>0</v>
      </c>
      <c r="E754" t="str">
        <v xml:space="preserve">URANGA </v>
      </c>
      <c r="F754" t="str">
        <v>FX PROXIMAL DE HUMERO</v>
      </c>
      <c r="G754" t="str">
        <v>1 PLACA PHILOS 1 TORNILLO CANU 3,5 4.5 Y 6.5</v>
      </c>
      <c r="H754">
        <v>0</v>
      </c>
      <c r="I754" t="str">
        <v>ACEPTADO</v>
      </c>
      <c r="J754" t="str">
        <v>PARANÁ</v>
      </c>
      <c r="K754" t="str">
        <v>PAMI</v>
      </c>
      <c r="L754">
        <v>0</v>
      </c>
    </row>
    <row r="755" spans="2:12" x14ac:dyDescent="0.25">
      <c r="B755" s="20">
        <v>45621</v>
      </c>
      <c r="C755" t="str">
        <v>CAMPISTROUS ELSA</v>
      </c>
      <c r="D755">
        <v>94</v>
      </c>
      <c r="E755" t="str">
        <v xml:space="preserve">URANGA </v>
      </c>
      <c r="F755" t="str">
        <v>FX CADERA</v>
      </c>
      <c r="G755" t="str">
        <v>CLAVO GAMMA</v>
      </c>
      <c r="H755">
        <v>0</v>
      </c>
      <c r="I755" t="str">
        <v>ACEPTADO</v>
      </c>
      <c r="J755" t="str">
        <v>PARANÁ</v>
      </c>
      <c r="K755" t="str">
        <v>PAMI</v>
      </c>
      <c r="L755">
        <v>0</v>
      </c>
    </row>
    <row r="756" spans="2:12" x14ac:dyDescent="0.25">
      <c r="B756" s="20">
        <v>45621</v>
      </c>
      <c r="C756" t="str">
        <v xml:space="preserve">AUBERT GLADYS </v>
      </c>
      <c r="D756">
        <v>67</v>
      </c>
      <c r="E756" t="str">
        <v>MERLINI</v>
      </c>
      <c r="F756" t="str">
        <v>PLACA EDR</v>
      </c>
      <c r="G756" t="str">
        <v>FX MUÑECA</v>
      </c>
      <c r="H756">
        <v>0</v>
      </c>
      <c r="I756" t="str">
        <v>ACEPTADO</v>
      </c>
      <c r="J756" t="str">
        <v>PARANÁ</v>
      </c>
      <c r="K756" t="str">
        <v>PAMI</v>
      </c>
      <c r="L756">
        <v>0</v>
      </c>
    </row>
    <row r="757" spans="2:12" x14ac:dyDescent="0.25">
      <c r="B757" s="20">
        <v>45622</v>
      </c>
      <c r="C757" t="str">
        <v>AXT ROMUALDO</v>
      </c>
      <c r="D757">
        <v>76</v>
      </c>
      <c r="E757" t="str">
        <v>MERLINI</v>
      </c>
      <c r="F757" t="str">
        <v>GAMMA</v>
      </c>
      <c r="G757" t="str">
        <v>FX CADERA IZQ</v>
      </c>
      <c r="H757">
        <v>0</v>
      </c>
      <c r="I757" t="str">
        <v>ACEPTADO</v>
      </c>
      <c r="J757" t="str">
        <v>PARANÁ</v>
      </c>
      <c r="K757" t="str">
        <v>PAMI</v>
      </c>
      <c r="L757">
        <v>0</v>
      </c>
    </row>
    <row r="758" spans="2:12" x14ac:dyDescent="0.25">
      <c r="B758" s="20">
        <v>45622</v>
      </c>
      <c r="C758" t="str">
        <v>ESPINDOLA ALEXIS</v>
      </c>
      <c r="D758">
        <v>24</v>
      </c>
      <c r="E758" t="str">
        <v xml:space="preserve">HERMIDA </v>
      </c>
      <c r="F758" t="str">
        <v>LCA</v>
      </c>
      <c r="G758" t="str">
        <v>1 BOTON 1 TORNILLO</v>
      </c>
      <c r="H758">
        <v>0</v>
      </c>
      <c r="I758" t="str">
        <v>ACEPTADO</v>
      </c>
      <c r="J758" t="str">
        <v>BOVRIL</v>
      </c>
      <c r="K758" t="str">
        <v>S/M</v>
      </c>
      <c r="L758">
        <v>0</v>
      </c>
    </row>
    <row r="759" spans="2:12" x14ac:dyDescent="0.25">
      <c r="B759" s="20">
        <v>45622</v>
      </c>
      <c r="C759" t="str">
        <v>PUNTIN MARIA LOURDES</v>
      </c>
      <c r="D759">
        <v>28</v>
      </c>
      <c r="E759" t="str">
        <v xml:space="preserve">HERMIDA </v>
      </c>
      <c r="F759" t="str">
        <v>LCA</v>
      </c>
      <c r="G759" t="str">
        <v>1 BOTON 1 TORNILLO</v>
      </c>
      <c r="H759">
        <v>0</v>
      </c>
      <c r="I759" t="str">
        <v>ACEPTADO</v>
      </c>
      <c r="J759" t="str">
        <v>PARANÁ</v>
      </c>
      <c r="K759" t="str">
        <v>S/M</v>
      </c>
      <c r="L759">
        <v>0</v>
      </c>
    </row>
    <row r="760" spans="2:12" x14ac:dyDescent="0.25">
      <c r="B760" s="20">
        <v>45622</v>
      </c>
      <c r="C760" t="str">
        <v>MOLINA ALICIA</v>
      </c>
      <c r="D760">
        <v>44</v>
      </c>
      <c r="E760" t="str">
        <v>GARCIA VITOR</v>
      </c>
      <c r="F760" t="str">
        <v>OSTEOARTRITIS DE CADERA</v>
      </c>
      <c r="G760" t="str">
        <v>ptc no cementada</v>
      </c>
      <c r="H760">
        <v>0</v>
      </c>
      <c r="I760" t="str">
        <v>ACEPTADO</v>
      </c>
      <c r="J760" t="str">
        <v>PARANÁ</v>
      </c>
      <c r="K760" t="str">
        <v>S/M</v>
      </c>
      <c r="L760">
        <v>0</v>
      </c>
    </row>
    <row r="761" spans="2:12" x14ac:dyDescent="0.25">
      <c r="B761" s="20">
        <v>45622</v>
      </c>
      <c r="C761" t="str">
        <v>RUIZ DIAZ DAIANA</v>
      </c>
      <c r="D761">
        <v>41</v>
      </c>
      <c r="E761" t="str">
        <v>NARVAEZ</v>
      </c>
      <c r="F761" t="str">
        <v>HALLUX VALGUS</v>
      </c>
      <c r="G761" t="str">
        <v>T CANULADO O BAROUK</v>
      </c>
      <c r="H761">
        <v>0</v>
      </c>
      <c r="I761" t="str">
        <v>ACEPTADO</v>
      </c>
      <c r="J761" t="str">
        <v>PARANÁ</v>
      </c>
      <c r="K761" t="str">
        <v>S/M</v>
      </c>
      <c r="L761">
        <v>0</v>
      </c>
    </row>
    <row r="762" spans="2:12" x14ac:dyDescent="0.25">
      <c r="B762" s="20">
        <v>45622</v>
      </c>
      <c r="C762" t="str">
        <v>ZATTI OMAR</v>
      </c>
      <c r="D762">
        <v>64</v>
      </c>
      <c r="E762" t="str">
        <v>GARCIA VITOR</v>
      </c>
      <c r="F762" t="str">
        <v>OSTEOARTRITIS DE CADERA</v>
      </c>
      <c r="G762" t="str">
        <v>ptc no cementada</v>
      </c>
      <c r="H762">
        <v>0</v>
      </c>
      <c r="I762" t="str">
        <v>ACEPTADO</v>
      </c>
      <c r="J762" t="str">
        <v>NOGOYA</v>
      </c>
      <c r="K762" t="str">
        <v>S/M</v>
      </c>
      <c r="L762">
        <v>0</v>
      </c>
    </row>
    <row r="763" spans="2:12" x14ac:dyDescent="0.25">
      <c r="B763" s="20">
        <v>45623</v>
      </c>
      <c r="C763" t="str">
        <v>MONZON STELLA MARIS</v>
      </c>
      <c r="D763">
        <v>65</v>
      </c>
      <c r="E763" t="str">
        <v xml:space="preserve">URANGA </v>
      </c>
      <c r="F763" t="str">
        <v>PHACA PHILOS T CANULADOS</v>
      </c>
      <c r="G763">
        <v>0</v>
      </c>
      <c r="H763">
        <v>0</v>
      </c>
      <c r="I763" t="str">
        <v>ACEPTADO</v>
      </c>
      <c r="J763" t="str">
        <v>PARANÁ</v>
      </c>
      <c r="K763" t="str">
        <v>PAMI</v>
      </c>
      <c r="L763">
        <v>0</v>
      </c>
    </row>
    <row r="764" spans="2:12" x14ac:dyDescent="0.25">
      <c r="B764" s="20">
        <v>45623</v>
      </c>
      <c r="C764" t="str">
        <v>CASTRO RUBEN</v>
      </c>
      <c r="D764">
        <v>73</v>
      </c>
      <c r="E764" t="str">
        <v>GARCIA VITOR</v>
      </c>
      <c r="F764" t="str">
        <v>GONARTROSIS</v>
      </c>
      <c r="G764" t="str">
        <v>1 ptr cementada</v>
      </c>
      <c r="H764">
        <v>0</v>
      </c>
      <c r="I764" t="str">
        <v>ACEPTADO</v>
      </c>
      <c r="J764" t="str">
        <v xml:space="preserve">SANTA ELENA </v>
      </c>
      <c r="K764" t="str">
        <v>S/M</v>
      </c>
      <c r="L764">
        <v>0</v>
      </c>
    </row>
    <row r="765" spans="2:12" x14ac:dyDescent="0.25">
      <c r="B765" s="20">
        <v>45624</v>
      </c>
      <c r="C765" t="str">
        <v>SUAREZ ELVIRA</v>
      </c>
      <c r="D765">
        <v>71</v>
      </c>
      <c r="E765" t="str">
        <v xml:space="preserve">URANGA </v>
      </c>
      <c r="F765" t="str">
        <v>FX HUMERO</v>
      </c>
      <c r="G765" t="str">
        <v>1 PLACA PHILOS 1 TORNILLO CANU 3,5 4.5 Y 6.5</v>
      </c>
      <c r="H765">
        <v>0</v>
      </c>
      <c r="I765" t="str">
        <v>ACEPTADO</v>
      </c>
      <c r="J765" t="str">
        <v>PARANÁ</v>
      </c>
      <c r="K765" t="str">
        <v>PAMI</v>
      </c>
      <c r="L765">
        <v>0</v>
      </c>
    </row>
    <row r="766" spans="2:12" x14ac:dyDescent="0.25">
      <c r="B766" s="20">
        <v>45625</v>
      </c>
      <c r="C766" t="str">
        <v>ARACENAS MORENO</v>
      </c>
      <c r="D766">
        <v>27</v>
      </c>
      <c r="E766" t="str">
        <v xml:space="preserve">HERMIDA </v>
      </c>
      <c r="F766" t="str">
        <v>LCA</v>
      </c>
      <c r="G766" t="str">
        <v>1 BOTON 1 TORNILLO</v>
      </c>
      <c r="H766">
        <v>0</v>
      </c>
      <c r="I766" t="str">
        <v>ACEPTADO</v>
      </c>
      <c r="J766" t="str">
        <v>VILLAGUAY</v>
      </c>
      <c r="K766" t="str">
        <v>S/M</v>
      </c>
      <c r="L766">
        <v>0</v>
      </c>
    </row>
    <row r="767" spans="2:12" x14ac:dyDescent="0.25">
      <c r="B767" s="20">
        <v>45625</v>
      </c>
      <c r="C767" t="str">
        <v>BERNET YOLANDA</v>
      </c>
      <c r="D767">
        <v>76</v>
      </c>
      <c r="E767" t="str">
        <v xml:space="preserve">URANGA </v>
      </c>
      <c r="F767" t="str">
        <v>FX CADERA</v>
      </c>
      <c r="G767" t="str">
        <v>1 CLAVO GAMMA</v>
      </c>
      <c r="H767">
        <v>0</v>
      </c>
      <c r="I767" t="str">
        <v>ACEPTADO</v>
      </c>
      <c r="J767" t="str">
        <v>PARANÁ</v>
      </c>
      <c r="K767" t="str">
        <v>S/M</v>
      </c>
      <c r="L767">
        <v>0</v>
      </c>
    </row>
    <row r="768" spans="2:12" x14ac:dyDescent="0.25">
      <c r="B768" s="20">
        <v>45628</v>
      </c>
      <c r="C768" t="str">
        <v>Quiroga Brian</v>
      </c>
      <c r="D768">
        <v>24</v>
      </c>
      <c r="E768" t="str">
        <v>PELEGRINI</v>
      </c>
      <c r="F768" t="str">
        <v>LCA</v>
      </c>
      <c r="G768" t="str">
        <v>1 boton 1 tornillo</v>
      </c>
      <c r="H768">
        <v>0</v>
      </c>
      <c r="I768" t="str">
        <v>ACEPTADO</v>
      </c>
      <c r="J768" t="str">
        <v>C del Uruguay</v>
      </c>
      <c r="K768" t="str">
        <v>S/M</v>
      </c>
      <c r="L768">
        <v>0</v>
      </c>
    </row>
    <row r="769" spans="2:12" x14ac:dyDescent="0.25">
      <c r="B769" s="20">
        <v>45628</v>
      </c>
      <c r="C769" t="str">
        <v>Muñoz Matias</v>
      </c>
      <c r="D769">
        <v>19</v>
      </c>
      <c r="E769" t="str">
        <v>PELEGRINI</v>
      </c>
      <c r="F769" t="str">
        <v>LCA</v>
      </c>
      <c r="G769" t="str">
        <v>1 boton 1 tornillo</v>
      </c>
      <c r="H769">
        <v>0</v>
      </c>
      <c r="I769" t="str">
        <v>ACEPTADO</v>
      </c>
      <c r="J769" t="str">
        <v>PARANÁ</v>
      </c>
      <c r="K769" t="str">
        <v>S/M</v>
      </c>
      <c r="L769">
        <v>0</v>
      </c>
    </row>
    <row r="770" spans="2:12" x14ac:dyDescent="0.25">
      <c r="B770" s="20">
        <v>45628</v>
      </c>
      <c r="C770" t="str">
        <v>Galiano Nelida</v>
      </c>
      <c r="D770">
        <v>77</v>
      </c>
      <c r="E770" t="str">
        <v xml:space="preserve">URANGA </v>
      </c>
      <c r="F770" t="str">
        <v>PTC Y COTILO DOBLE MOVILIDAD</v>
      </c>
      <c r="G770">
        <v>0</v>
      </c>
      <c r="H770">
        <v>0</v>
      </c>
      <c r="I770" t="str">
        <v>ACEPTADO</v>
      </c>
      <c r="J770" t="str">
        <v>PARANÁ</v>
      </c>
      <c r="K770" t="str">
        <v>PAMI</v>
      </c>
      <c r="L770">
        <v>0</v>
      </c>
    </row>
    <row r="771" spans="2:12" x14ac:dyDescent="0.25">
      <c r="B771" s="20">
        <v>45629</v>
      </c>
      <c r="C771" t="str">
        <v>Ubiedo Maria</v>
      </c>
      <c r="D771">
        <v>67</v>
      </c>
      <c r="E771" t="str">
        <v xml:space="preserve">HERMIDA </v>
      </c>
      <c r="F771" t="str">
        <v>fx muñeca</v>
      </c>
      <c r="G771" t="str">
        <v>placa edr doble hilera</v>
      </c>
      <c r="H771">
        <v>0</v>
      </c>
      <c r="I771" t="str">
        <v>ACEPTADO</v>
      </c>
      <c r="J771" t="str">
        <v>PARANÁ</v>
      </c>
      <c r="K771" t="str">
        <v>PAMI</v>
      </c>
      <c r="L771">
        <v>0</v>
      </c>
    </row>
    <row r="772" spans="2:12" x14ac:dyDescent="0.25">
      <c r="B772" s="20">
        <v>45630</v>
      </c>
      <c r="C772" t="str">
        <v>Geist Ramon</v>
      </c>
      <c r="D772">
        <v>65</v>
      </c>
      <c r="E772" t="str">
        <v>GARCIA VITOR</v>
      </c>
      <c r="F772" t="str">
        <v>Pseudoartrosis de tibia</v>
      </c>
      <c r="G772" t="str">
        <v>1 clavo endomedular 1 destornillador</v>
      </c>
      <c r="H772">
        <v>0</v>
      </c>
      <c r="I772" t="str">
        <v>ACEPTADO</v>
      </c>
      <c r="J772" t="str">
        <v>DIAMANTE</v>
      </c>
      <c r="K772" t="str">
        <v>S/M</v>
      </c>
      <c r="L772">
        <v>0</v>
      </c>
    </row>
    <row r="773" spans="2:12" x14ac:dyDescent="0.25">
      <c r="B773" s="20">
        <v>45630</v>
      </c>
      <c r="C773" t="str">
        <v>Ojeda Irina</v>
      </c>
      <c r="D773">
        <v>26</v>
      </c>
      <c r="E773" t="str">
        <v xml:space="preserve">HERMIDA </v>
      </c>
      <c r="F773" t="str">
        <v>LCA</v>
      </c>
      <c r="G773" t="str">
        <v>1 boton 1 tornillo</v>
      </c>
      <c r="H773">
        <v>0</v>
      </c>
      <c r="I773" t="str">
        <v>ACEPTADO</v>
      </c>
      <c r="J773" t="str">
        <v>Villaguay</v>
      </c>
      <c r="K773" t="str">
        <v>S/M</v>
      </c>
      <c r="L773">
        <v>0</v>
      </c>
    </row>
    <row r="774" spans="2:12" x14ac:dyDescent="0.25">
      <c r="B774" s="20">
        <v>45631</v>
      </c>
      <c r="C774" t="str">
        <v xml:space="preserve">Schmidt Dora </v>
      </c>
      <c r="D774">
        <v>75</v>
      </c>
      <c r="E774" t="str">
        <v>CESAR MEYNET</v>
      </c>
      <c r="F774" t="str">
        <v>PTC CEMENTADA Y COTILO DOBLE MOVILIDAD</v>
      </c>
      <c r="G774">
        <v>0</v>
      </c>
      <c r="H774">
        <v>0</v>
      </c>
      <c r="I774" t="str">
        <v>ACEPTADO</v>
      </c>
      <c r="J774" t="str">
        <v>PARANÁ</v>
      </c>
      <c r="K774" t="str">
        <v>PAMI</v>
      </c>
      <c r="L774">
        <v>0</v>
      </c>
    </row>
    <row r="775" spans="2:12" x14ac:dyDescent="0.25">
      <c r="B775" s="20">
        <v>45632</v>
      </c>
      <c r="C775" t="str">
        <v xml:space="preserve">Palacio Elba </v>
      </c>
      <c r="D775">
        <v>70</v>
      </c>
      <c r="E775" t="str">
        <v>GARCIA VITOR</v>
      </c>
      <c r="F775" t="str">
        <v>PTC CEMENTADA Y COTILO DOBLE MOVILIDAD</v>
      </c>
      <c r="G775">
        <v>0</v>
      </c>
      <c r="H775">
        <v>0</v>
      </c>
      <c r="I775" t="str">
        <v>ACEPTADO</v>
      </c>
      <c r="J775" t="str">
        <v>PARANÁ</v>
      </c>
      <c r="K775" t="str">
        <v>PAMI</v>
      </c>
      <c r="L775">
        <v>0</v>
      </c>
    </row>
    <row r="776" spans="2:12" x14ac:dyDescent="0.25">
      <c r="B776" s="20">
        <v>45635</v>
      </c>
      <c r="C776" t="str">
        <v>Romeo Rosa</v>
      </c>
      <c r="D776">
        <v>53</v>
      </c>
      <c r="E776" t="str">
        <v>UCEDO</v>
      </c>
      <c r="F776" t="str">
        <v>Hallux Valgus</v>
      </c>
      <c r="G776" t="str">
        <v>1 torn tipo herbert</v>
      </c>
      <c r="H776">
        <v>0</v>
      </c>
      <c r="I776" t="str">
        <v>ACEPTADO</v>
      </c>
      <c r="J776" t="str">
        <v>CERRITO</v>
      </c>
      <c r="K776" t="str">
        <v>S/M</v>
      </c>
      <c r="L776">
        <v>0</v>
      </c>
    </row>
    <row r="777" spans="2:12" x14ac:dyDescent="0.25">
      <c r="B777" s="20">
        <v>45635</v>
      </c>
      <c r="C777" t="str">
        <v>Iris Daiana</v>
      </c>
      <c r="D777">
        <v>34</v>
      </c>
      <c r="E777" t="str">
        <v>UCEDO</v>
      </c>
      <c r="F777" t="str">
        <v>artrosis periastragalina</v>
      </c>
      <c r="G777" t="str">
        <v xml:space="preserve">1 clavo de tibia endomedular acerrojado1 placa tercio de tubo </v>
      </c>
      <c r="H777">
        <v>0</v>
      </c>
      <c r="I777" t="str">
        <v>ACEPTADO</v>
      </c>
      <c r="J777" t="str">
        <v>Federal</v>
      </c>
      <c r="K777" t="str">
        <v>S/M</v>
      </c>
      <c r="L777">
        <v>0</v>
      </c>
    </row>
    <row r="778" spans="2:12" x14ac:dyDescent="0.25">
      <c r="B778" s="20">
        <v>45635</v>
      </c>
      <c r="C778" t="str">
        <v>Grandoli Micaela</v>
      </c>
      <c r="D778">
        <v>75</v>
      </c>
      <c r="E778" t="str">
        <v>UCEDO</v>
      </c>
      <c r="F778" t="str">
        <v>Hallux Valgus</v>
      </c>
      <c r="G778" t="str">
        <v>1T barouk 2 clavijas 2,0 y 2 1,5 mm</v>
      </c>
      <c r="H778">
        <v>0</v>
      </c>
      <c r="I778" t="str">
        <v>ACEPTADO</v>
      </c>
      <c r="J778" t="str">
        <v>PARANÁ</v>
      </c>
      <c r="K778" t="str">
        <v>PAMI</v>
      </c>
      <c r="L778">
        <v>0</v>
      </c>
    </row>
    <row r="779" spans="2:12" x14ac:dyDescent="0.25">
      <c r="B779" s="20">
        <v>45637</v>
      </c>
      <c r="C779" t="str">
        <v>Largheri Susana</v>
      </c>
      <c r="D779">
        <v>0</v>
      </c>
      <c r="E779" t="str">
        <v xml:space="preserve">URANGA </v>
      </c>
      <c r="F779" t="str">
        <v>Canulados 3,5 4,0 4,5 placa tercio tubo</v>
      </c>
      <c r="G779">
        <v>0</v>
      </c>
      <c r="H779">
        <v>0</v>
      </c>
      <c r="I779" t="str">
        <v>ACEPTADO</v>
      </c>
      <c r="J779" t="str">
        <v>PARANÁ</v>
      </c>
      <c r="K779" t="str">
        <v>PAMI</v>
      </c>
      <c r="L779">
        <v>0</v>
      </c>
    </row>
    <row r="780" spans="2:12" x14ac:dyDescent="0.25">
      <c r="B780" s="20">
        <v>45637</v>
      </c>
      <c r="C780" t="str">
        <v xml:space="preserve">EICHHORN NORMA </v>
      </c>
      <c r="D780">
        <v>0</v>
      </c>
      <c r="E780" t="str">
        <v>MERLINI</v>
      </c>
      <c r="F780" t="str">
        <v>CLAVO ENDOMEDULAR</v>
      </c>
      <c r="G780">
        <v>0</v>
      </c>
      <c r="H780">
        <v>0</v>
      </c>
      <c r="I780" t="str">
        <v>ACEPTADO</v>
      </c>
      <c r="J780" t="str">
        <v>PARANÁ</v>
      </c>
      <c r="K780" t="str">
        <v>PAMI</v>
      </c>
      <c r="L780">
        <v>0</v>
      </c>
    </row>
    <row r="781" spans="2:12" x14ac:dyDescent="0.25">
      <c r="B781" s="20">
        <v>45638</v>
      </c>
      <c r="C781" t="str">
        <v>Aprile Monica</v>
      </c>
      <c r="D781">
        <v>64</v>
      </c>
      <c r="E781" t="str">
        <v>STOPELLO</v>
      </c>
      <c r="F781" t="str">
        <v>GONARTROSIS</v>
      </c>
      <c r="G781" t="str">
        <v>RTR</v>
      </c>
      <c r="H781">
        <v>0</v>
      </c>
      <c r="I781" t="str">
        <v>ACEPTADO</v>
      </c>
      <c r="J781" t="str">
        <v>PARANÁ</v>
      </c>
      <c r="K781" t="str">
        <v>PAMI</v>
      </c>
      <c r="L781">
        <v>0</v>
      </c>
    </row>
    <row r="782" spans="2:12" x14ac:dyDescent="0.25">
      <c r="B782" s="20">
        <v>45638</v>
      </c>
      <c r="C782" t="str">
        <v>JUMILLA MARIA</v>
      </c>
      <c r="D782">
        <v>69</v>
      </c>
      <c r="E782" t="str">
        <v>MERLINI</v>
      </c>
      <c r="F782" t="str">
        <v>FX PERIPROTESICA</v>
      </c>
      <c r="G782" t="str">
        <v>PTC NO CEMENTADA PLACA CABLE ALAMBRE, COTILO D MOV</v>
      </c>
      <c r="H782">
        <v>0</v>
      </c>
      <c r="I782" t="str">
        <v>ACEPTADO</v>
      </c>
      <c r="J782" t="str">
        <v>PARANÁ</v>
      </c>
      <c r="K782" t="str">
        <v>PAMI</v>
      </c>
      <c r="L782">
        <v>0</v>
      </c>
    </row>
    <row r="783" spans="2:12" x14ac:dyDescent="0.25">
      <c r="B783" s="20">
        <v>45638</v>
      </c>
      <c r="C783" t="str">
        <v>CORONEL MARIA</v>
      </c>
      <c r="D783">
        <v>57</v>
      </c>
      <c r="E783" t="str">
        <v>STOPELLO</v>
      </c>
      <c r="F783" t="str">
        <v>COXARTROSIS</v>
      </c>
      <c r="G783" t="str">
        <v>PTC DERECHA NO CEMENTADA</v>
      </c>
      <c r="H783">
        <v>0</v>
      </c>
      <c r="I783" t="str">
        <v>ACEPTADO</v>
      </c>
      <c r="J783" t="str">
        <v>PARANÁ</v>
      </c>
      <c r="K783" t="str">
        <v>PAMI</v>
      </c>
      <c r="L783">
        <v>0</v>
      </c>
    </row>
    <row r="784" spans="2:12" x14ac:dyDescent="0.25">
      <c r="B784" s="20">
        <v>45638</v>
      </c>
      <c r="C784" t="str">
        <v>RODRIGUEZ RAUL</v>
      </c>
      <c r="D784">
        <v>72</v>
      </c>
      <c r="E784" t="str">
        <v>YACOMO</v>
      </c>
      <c r="F784" t="str">
        <v>GONARTROSIS</v>
      </c>
      <c r="G784" t="str">
        <v xml:space="preserve">RTR </v>
      </c>
      <c r="H784">
        <v>0</v>
      </c>
      <c r="I784" t="str">
        <v>ACEPTADO</v>
      </c>
      <c r="J784" t="str">
        <v>PARANÁ</v>
      </c>
      <c r="K784" t="str">
        <v>PAMI</v>
      </c>
      <c r="L784">
        <v>0</v>
      </c>
    </row>
    <row r="785" spans="2:12" x14ac:dyDescent="0.25">
      <c r="B785" s="20">
        <v>45639</v>
      </c>
      <c r="C785" t="str">
        <v>FINUCHI DORA</v>
      </c>
      <c r="D785">
        <v>77</v>
      </c>
      <c r="E785">
        <v>0</v>
      </c>
      <c r="F785" t="str">
        <v>FX DE CADERA</v>
      </c>
      <c r="G785" t="str">
        <v>3 TORNILLOS CANULADOS 6,5 MM CON ARANDELA</v>
      </c>
      <c r="H785">
        <v>0</v>
      </c>
      <c r="I785" t="str">
        <v>ACEPTADO</v>
      </c>
      <c r="J785" t="str">
        <v>PARANÁ</v>
      </c>
      <c r="K785" t="str">
        <v>PAMI</v>
      </c>
      <c r="L785">
        <v>0</v>
      </c>
    </row>
    <row r="786" spans="2:12" x14ac:dyDescent="0.25">
      <c r="B786" s="20">
        <v>45642</v>
      </c>
      <c r="C786" t="str">
        <v>Brochero Aixa</v>
      </c>
      <c r="D786">
        <v>26</v>
      </c>
      <c r="E786" t="str">
        <v>NARVAEZ</v>
      </c>
      <c r="F786" t="str">
        <v>1 clavo endomedular</v>
      </c>
      <c r="G786">
        <v>0</v>
      </c>
      <c r="H786">
        <v>0</v>
      </c>
      <c r="I786" t="str">
        <v>ACEPTADO</v>
      </c>
      <c r="J786" t="str">
        <v>Viale</v>
      </c>
      <c r="K786" t="str">
        <v>S/M</v>
      </c>
      <c r="L786">
        <v>0</v>
      </c>
    </row>
    <row r="787" spans="2:12" x14ac:dyDescent="0.25">
      <c r="B787" s="20">
        <v>45642</v>
      </c>
      <c r="C787" t="str">
        <v>Lell Miriam</v>
      </c>
      <c r="D787">
        <v>63</v>
      </c>
      <c r="E787" t="str">
        <v>MERLINI</v>
      </c>
      <c r="F787" t="str">
        <v>LUXO FX DE TOBILLO</v>
      </c>
      <c r="G787">
        <v>0</v>
      </c>
      <c r="H787">
        <v>0</v>
      </c>
      <c r="I787" t="str">
        <v>ACEPTADO</v>
      </c>
      <c r="J787" t="str">
        <v>PARANÁ</v>
      </c>
      <c r="K787" t="str">
        <v>PAMI</v>
      </c>
      <c r="L787">
        <v>0</v>
      </c>
    </row>
    <row r="788" spans="2:12" x14ac:dyDescent="0.25">
      <c r="B788" s="20">
        <v>45644</v>
      </c>
      <c r="C788" t="str">
        <v xml:space="preserve">MARTINEZ MODESTA </v>
      </c>
      <c r="D788">
        <v>86</v>
      </c>
      <c r="E788" t="str">
        <v xml:space="preserve">URANGA </v>
      </c>
      <c r="F788" t="str">
        <v>FX PROXIMAL DE HUMERO</v>
      </c>
      <c r="G788">
        <v>0</v>
      </c>
      <c r="H788">
        <v>0</v>
      </c>
      <c r="I788" t="str">
        <v>ACEPTADO</v>
      </c>
      <c r="J788" t="str">
        <v>PARANÁ</v>
      </c>
      <c r="K788" t="str">
        <v>PAMI</v>
      </c>
      <c r="L788">
        <v>0</v>
      </c>
    </row>
    <row r="789" spans="2:12" x14ac:dyDescent="0.25">
      <c r="B789" s="20">
        <v>45645</v>
      </c>
      <c r="C789" t="str">
        <v>Martinez Marina</v>
      </c>
      <c r="D789">
        <v>57</v>
      </c>
      <c r="E789" t="str">
        <v>YACOMO</v>
      </c>
      <c r="F789" t="str">
        <v xml:space="preserve">RTR </v>
      </c>
      <c r="G789" t="str">
        <v>GONARTROSI</v>
      </c>
      <c r="H789">
        <v>0</v>
      </c>
      <c r="I789" t="str">
        <v>ACEPTADO</v>
      </c>
      <c r="J789" t="str">
        <v>PARANÁ</v>
      </c>
      <c r="K789" t="str">
        <v>S/M</v>
      </c>
      <c r="L789">
        <v>0</v>
      </c>
    </row>
    <row r="790" spans="2:12" x14ac:dyDescent="0.25">
      <c r="B790" s="20">
        <v>45645</v>
      </c>
      <c r="C790" t="str">
        <v xml:space="preserve">GARCIA MIRTA </v>
      </c>
      <c r="D790">
        <v>77</v>
      </c>
      <c r="E790" t="str">
        <v xml:space="preserve">URANGA </v>
      </c>
      <c r="F790" t="str">
        <v>FX EXPUESTA CODO IZQ</v>
      </c>
      <c r="G790" t="str">
        <v xml:space="preserve">PLCA LCP P HUMERO PLACA RECONSTRUCCION T CANULADOS PLACA LCP 2 CLAVIJAS </v>
      </c>
      <c r="H790">
        <v>0</v>
      </c>
      <c r="I790" t="str">
        <v>ACEPTADO</v>
      </c>
      <c r="J790">
        <v>0</v>
      </c>
      <c r="K790" t="str">
        <v>PAMI</v>
      </c>
      <c r="L790">
        <v>0</v>
      </c>
    </row>
    <row r="791" spans="2:12" x14ac:dyDescent="0.25">
      <c r="B791" s="20">
        <v>45646</v>
      </c>
      <c r="C791" t="str">
        <v>ZAPATA GREGORIA</v>
      </c>
      <c r="D791">
        <v>65</v>
      </c>
      <c r="E791" t="str">
        <v xml:space="preserve">URANGA </v>
      </c>
      <c r="F791" t="str">
        <v>FX DE CADERA</v>
      </c>
      <c r="G791" t="str">
        <v xml:space="preserve">clavo gamma </v>
      </c>
      <c r="H791">
        <v>0</v>
      </c>
      <c r="I791" t="str">
        <v>ACEPTADO</v>
      </c>
      <c r="J791" t="str">
        <v>PARANÁ</v>
      </c>
      <c r="K791" t="str">
        <v>PAMI</v>
      </c>
      <c r="L791">
        <v>0</v>
      </c>
    </row>
    <row r="792" spans="2:12" x14ac:dyDescent="0.25">
      <c r="B792" s="20">
        <v>45646</v>
      </c>
      <c r="C792" t="str">
        <v xml:space="preserve">ACOSTA DOMINGA </v>
      </c>
      <c r="D792">
        <v>81</v>
      </c>
      <c r="E792" t="str">
        <v xml:space="preserve">URANGA </v>
      </c>
      <c r="F792" t="str">
        <v>fx de cadera</v>
      </c>
      <c r="G792" t="str">
        <v xml:space="preserve">clavo gamma </v>
      </c>
      <c r="H792">
        <v>0</v>
      </c>
      <c r="I792" t="str">
        <v>ACEPTADO</v>
      </c>
      <c r="J792" t="str">
        <v>Paraná</v>
      </c>
      <c r="K792" t="str">
        <v>PAMI</v>
      </c>
      <c r="L792">
        <v>0</v>
      </c>
    </row>
    <row r="793" spans="2:12" x14ac:dyDescent="0.25">
      <c r="B793" s="20">
        <v>45652</v>
      </c>
      <c r="C793" t="str">
        <v>GEA SANCHEZ JOSE</v>
      </c>
      <c r="D793">
        <v>47</v>
      </c>
      <c r="E793" t="str">
        <v>YACOMO</v>
      </c>
      <c r="F793" t="str">
        <v>RUP DE CUADRICIPITAL</v>
      </c>
      <c r="G793" t="str">
        <v>3 ARPONES 5 MM</v>
      </c>
      <c r="H793">
        <v>0</v>
      </c>
      <c r="I793" t="str">
        <v>ACEPTADO</v>
      </c>
      <c r="J793" t="str">
        <v>PARANÁ</v>
      </c>
      <c r="K793" t="str">
        <v>S/M</v>
      </c>
      <c r="L793">
        <v>0</v>
      </c>
    </row>
    <row r="794" spans="2:12" x14ac:dyDescent="0.25">
      <c r="B794" s="20">
        <v>45653</v>
      </c>
      <c r="C794" t="str">
        <v>GORO LEONOR</v>
      </c>
      <c r="D794">
        <v>71</v>
      </c>
      <c r="E794" t="str">
        <v xml:space="preserve">URANGA </v>
      </c>
      <c r="F794" t="str">
        <v>FX HUMERO</v>
      </c>
      <c r="G794" t="str">
        <v>CLAVO ENDOMEDULAR PLACA DCP</v>
      </c>
      <c r="H794">
        <v>0</v>
      </c>
      <c r="I794" t="str">
        <v>ACEPTADO</v>
      </c>
      <c r="J794" t="str">
        <v>PARANÁ</v>
      </c>
      <c r="K794" t="str">
        <v>PAMI</v>
      </c>
      <c r="L794">
        <v>0</v>
      </c>
    </row>
    <row r="795" spans="2:12" x14ac:dyDescent="0.25">
      <c r="B795" s="20">
        <v>45659</v>
      </c>
      <c r="C795" t="str">
        <v>PORTALUPPI LIRA</v>
      </c>
      <c r="D795">
        <v>82</v>
      </c>
      <c r="E795">
        <v>0</v>
      </c>
      <c r="F795" t="str">
        <v>FX DE CADERA</v>
      </c>
      <c r="G795" t="str">
        <v>PROTESIS THOMPSON</v>
      </c>
      <c r="H795" t="str">
        <v>VILLALBA</v>
      </c>
      <c r="I795" t="str">
        <v>ACEPTADO</v>
      </c>
      <c r="J795" t="str">
        <v>PARANÁ</v>
      </c>
      <c r="K795" t="str">
        <v>PAMI</v>
      </c>
      <c r="L795">
        <v>0</v>
      </c>
    </row>
    <row r="796" spans="2:12" x14ac:dyDescent="0.25">
      <c r="B796" s="20">
        <v>45659</v>
      </c>
      <c r="C796" t="str">
        <v>PRADAL ANGELICA</v>
      </c>
      <c r="D796">
        <v>72</v>
      </c>
      <c r="E796" t="str">
        <v>MERLINI</v>
      </c>
      <c r="F796" t="str">
        <v>FX DE MUÑECA</v>
      </c>
      <c r="G796" t="str">
        <v>PLACA EDR DOBLE HILERA</v>
      </c>
      <c r="H796" t="str">
        <v>VILLALBA</v>
      </c>
      <c r="I796" t="str">
        <v>ACEPTADO</v>
      </c>
      <c r="J796" t="str">
        <v>PARANÁ</v>
      </c>
      <c r="K796" t="str">
        <v>PAMI</v>
      </c>
      <c r="L796">
        <v>0</v>
      </c>
    </row>
    <row r="797" spans="2:12" x14ac:dyDescent="0.25">
      <c r="B797" s="20">
        <v>45659</v>
      </c>
      <c r="C797" t="str">
        <v>CIARROCA STELLA MARIS</v>
      </c>
      <c r="D797">
        <v>66</v>
      </c>
      <c r="E797" t="str">
        <v>MERLINI</v>
      </c>
      <c r="F797" t="str">
        <v>FX DE MUÑECA</v>
      </c>
      <c r="G797" t="str">
        <v>PLACA EDR DOBLE HILERA</v>
      </c>
      <c r="H797" t="str">
        <v>VILLALBA</v>
      </c>
      <c r="I797" t="str">
        <v>ACEPTADO</v>
      </c>
      <c r="J797" t="str">
        <v>PARANÁ</v>
      </c>
      <c r="K797" t="str">
        <v>PAMI</v>
      </c>
      <c r="L797">
        <v>0</v>
      </c>
    </row>
    <row r="798" spans="2:12" x14ac:dyDescent="0.25">
      <c r="B798" s="20">
        <v>45663</v>
      </c>
      <c r="C798" t="str">
        <v>DELBENE STELLA MARIS</v>
      </c>
      <c r="D798">
        <v>66</v>
      </c>
      <c r="E798" t="str">
        <v>MERLINI</v>
      </c>
      <c r="F798" t="str">
        <v xml:space="preserve">FX TOBILLO </v>
      </c>
      <c r="G798" t="str">
        <v>TORNILLOS,PLACA 3/1</v>
      </c>
      <c r="H798" t="str">
        <v>VILLALBA</v>
      </c>
      <c r="I798" t="str">
        <v>ACEPTADO</v>
      </c>
      <c r="J798" t="str">
        <v>PARANÁ</v>
      </c>
      <c r="K798" t="str">
        <v>PAMI</v>
      </c>
      <c r="L798">
        <v>0</v>
      </c>
    </row>
    <row r="799" spans="2:12" x14ac:dyDescent="0.25">
      <c r="B799" s="20">
        <v>45663</v>
      </c>
      <c r="C799" t="str">
        <v>IRASTORZA TERESA</v>
      </c>
      <c r="D799">
        <v>84</v>
      </c>
      <c r="E799" t="str">
        <v>MERLINI</v>
      </c>
      <c r="F799" t="str">
        <v>FX CADERA</v>
      </c>
      <c r="G799" t="str">
        <v>CLAVO GAMMA</v>
      </c>
      <c r="H799" t="str">
        <v>VILLALBA</v>
      </c>
      <c r="I799" t="str">
        <v>ACEPTADO</v>
      </c>
      <c r="J799" t="str">
        <v>PARANÁ</v>
      </c>
      <c r="K799" t="str">
        <v>PAMI</v>
      </c>
      <c r="L799">
        <v>0</v>
      </c>
    </row>
    <row r="800" spans="2:12" x14ac:dyDescent="0.25">
      <c r="B800" s="20">
        <v>45663</v>
      </c>
      <c r="C800" t="str">
        <v>MONTI RUEDA GINO</v>
      </c>
      <c r="D800">
        <v>18</v>
      </c>
      <c r="E800" t="str">
        <v>PELEGRINI</v>
      </c>
      <c r="F800" t="str">
        <v>RUPTURA LCA</v>
      </c>
      <c r="G800" t="str">
        <v>BOTON CORTICAL, TORNILLO</v>
      </c>
      <c r="H800">
        <v>0</v>
      </c>
      <c r="I800" t="str">
        <v>ACEPTADO</v>
      </c>
      <c r="J800" t="str">
        <v>PARANÁ</v>
      </c>
      <c r="K800" t="str">
        <v>S/M</v>
      </c>
      <c r="L800">
        <v>0</v>
      </c>
    </row>
    <row r="801" spans="2:12" x14ac:dyDescent="0.25">
      <c r="B801" s="20">
        <v>45663</v>
      </c>
      <c r="C801" t="str">
        <v>MAZZEI EVA MARIA</v>
      </c>
      <c r="D801">
        <v>75</v>
      </c>
      <c r="E801" t="str">
        <v>MERLINI</v>
      </c>
      <c r="F801" t="str">
        <v>FX DE HUMERO</v>
      </c>
      <c r="G801" t="str">
        <v>PTC DE HOMBRO</v>
      </c>
      <c r="H801" t="str">
        <v>VILLALBA</v>
      </c>
      <c r="I801" t="str">
        <v>ACEPTADO</v>
      </c>
      <c r="J801" t="str">
        <v>CERRITO</v>
      </c>
      <c r="K801" t="str">
        <v>PAMI</v>
      </c>
      <c r="L801">
        <v>0</v>
      </c>
    </row>
    <row r="802" spans="2:12" x14ac:dyDescent="0.25">
      <c r="B802" s="20">
        <v>45663</v>
      </c>
      <c r="C802" t="str">
        <v>HIROZ</v>
      </c>
      <c r="D802">
        <v>89</v>
      </c>
      <c r="E802" t="str">
        <v>MERLINI</v>
      </c>
      <c r="F802" t="str">
        <v>FX DE CADERA</v>
      </c>
      <c r="G802" t="str">
        <v>CLAVO GAMMA</v>
      </c>
      <c r="H802" t="str">
        <v>VILLALBA</v>
      </c>
      <c r="I802" t="str">
        <v>ACEPTADO</v>
      </c>
      <c r="J802" t="str">
        <v>PARANÁ</v>
      </c>
      <c r="K802" t="str">
        <v>PAMI</v>
      </c>
      <c r="L802">
        <v>0</v>
      </c>
    </row>
    <row r="803" spans="2:12" x14ac:dyDescent="0.25">
      <c r="B803" s="20">
        <v>45665</v>
      </c>
      <c r="C803" t="str">
        <v>BRESSAN GRACIELA</v>
      </c>
      <c r="D803">
        <v>73</v>
      </c>
      <c r="E803" t="str">
        <v>MERLINI</v>
      </c>
      <c r="F803" t="str">
        <v>FX DE MUÑECA</v>
      </c>
      <c r="G803" t="str">
        <v>PLACA EDR DOBLE HILERA</v>
      </c>
      <c r="H803" t="str">
        <v>VILLALBA</v>
      </c>
      <c r="I803" t="str">
        <v>ACEPTADO</v>
      </c>
      <c r="J803" t="str">
        <v>PARANÁ</v>
      </c>
      <c r="K803" t="str">
        <v>PAMI</v>
      </c>
      <c r="L803">
        <v>0</v>
      </c>
    </row>
    <row r="804" spans="2:12" x14ac:dyDescent="0.25">
      <c r="B804" s="20">
        <v>45666</v>
      </c>
      <c r="C804" t="str">
        <v>ACOSTA ALICIA</v>
      </c>
      <c r="D804">
        <v>68</v>
      </c>
      <c r="E804" t="str">
        <v>STOPELLO</v>
      </c>
      <c r="F804" t="str">
        <v>GONALGIA</v>
      </c>
      <c r="G804" t="str">
        <v>PTR</v>
      </c>
      <c r="H804" t="str">
        <v>VILLALBA</v>
      </c>
      <c r="I804" t="str">
        <v>ACEPTADO</v>
      </c>
      <c r="J804" t="str">
        <v>PARANÁ</v>
      </c>
      <c r="K804" t="str">
        <v>PAMI</v>
      </c>
      <c r="L804">
        <v>0</v>
      </c>
    </row>
    <row r="805" spans="2:12" x14ac:dyDescent="0.25">
      <c r="B805" s="20">
        <v>45666</v>
      </c>
      <c r="C805" t="str">
        <v>CARDOZO STELLA MARIS</v>
      </c>
      <c r="D805">
        <v>67</v>
      </c>
      <c r="E805" t="str">
        <v>GARCIA VITOR</v>
      </c>
      <c r="F805" t="str">
        <v>LUX PROTESIS CAD</v>
      </c>
      <c r="G805" t="str">
        <v>TALLO CEMENTADO/ANILLO</v>
      </c>
      <c r="H805" t="str">
        <v>VILLALBA</v>
      </c>
      <c r="I805" t="str">
        <v>ACEPTADO</v>
      </c>
      <c r="J805" t="str">
        <v>PARANÁ</v>
      </c>
      <c r="K805" t="str">
        <v>PAMI</v>
      </c>
      <c r="L805">
        <v>0</v>
      </c>
    </row>
    <row r="806" spans="2:12" x14ac:dyDescent="0.25">
      <c r="B806" s="20">
        <v>45667</v>
      </c>
      <c r="C806" t="str">
        <v>RODRIGUEZ ELSA MARTA</v>
      </c>
      <c r="D806">
        <v>82</v>
      </c>
      <c r="E806">
        <v>0</v>
      </c>
      <c r="F806" t="str">
        <v>FX DE CADERA</v>
      </c>
      <c r="G806" t="str">
        <v>PTC DE CADERA</v>
      </c>
      <c r="H806" t="str">
        <v>VILLALBA</v>
      </c>
      <c r="I806" t="str">
        <v>ACEPTADO</v>
      </c>
      <c r="J806" t="str">
        <v>PARANÁ</v>
      </c>
      <c r="K806" t="str">
        <v>PAMI</v>
      </c>
      <c r="L806">
        <v>0</v>
      </c>
    </row>
    <row r="807" spans="2:12" x14ac:dyDescent="0.25">
      <c r="B807" s="20">
        <v>45667</v>
      </c>
      <c r="C807" t="str">
        <v>GAUNA KEVIN</v>
      </c>
      <c r="D807">
        <v>0</v>
      </c>
      <c r="E807" t="str">
        <v>YACOMO</v>
      </c>
      <c r="F807" t="str">
        <v>LCA</v>
      </c>
      <c r="G807" t="str">
        <v>BOTON CORTICAL, TORNILLO</v>
      </c>
      <c r="H807">
        <v>0</v>
      </c>
      <c r="I807" t="str">
        <v>ACEPTADO</v>
      </c>
      <c r="J807" t="str">
        <v>PARANÁ</v>
      </c>
      <c r="K807" t="str">
        <v>S/M</v>
      </c>
      <c r="L807">
        <v>0</v>
      </c>
    </row>
    <row r="808" spans="2:12" x14ac:dyDescent="0.25">
      <c r="B808" s="20">
        <v>45670</v>
      </c>
      <c r="C808" t="str">
        <v>BERTA VIDA DEL CARMEN</v>
      </c>
      <c r="D808">
        <v>69</v>
      </c>
      <c r="E808" t="str">
        <v>MERLINI</v>
      </c>
      <c r="F808" t="str">
        <v>FX DE CADERA</v>
      </c>
      <c r="G808" t="str">
        <v>PTC. COTILO.</v>
      </c>
      <c r="H808" t="str">
        <v>VILLALBA</v>
      </c>
      <c r="I808" t="str">
        <v>ACEPTADO</v>
      </c>
      <c r="J808" t="str">
        <v>PARANÁ</v>
      </c>
      <c r="K808" t="str">
        <v>PAMI</v>
      </c>
      <c r="L808">
        <v>0</v>
      </c>
    </row>
    <row r="809" spans="2:12" x14ac:dyDescent="0.25">
      <c r="B809" s="20">
        <v>45671</v>
      </c>
      <c r="C809" t="str">
        <v xml:space="preserve">SOSA HILDA </v>
      </c>
      <c r="D809">
        <v>83</v>
      </c>
      <c r="E809">
        <v>0</v>
      </c>
      <c r="F809" t="str">
        <v>FX DE CADERA</v>
      </c>
      <c r="G809" t="str">
        <v>CLAVO GAMMA</v>
      </c>
      <c r="H809" t="str">
        <v>VILLALBA</v>
      </c>
      <c r="I809" t="str">
        <v>ACEPTADO</v>
      </c>
      <c r="J809" t="str">
        <v>PARANÁ</v>
      </c>
      <c r="K809" t="str">
        <v>PAMI</v>
      </c>
      <c r="L809">
        <v>0</v>
      </c>
    </row>
    <row r="810" spans="2:12" x14ac:dyDescent="0.25">
      <c r="B810" s="20">
        <v>45673</v>
      </c>
      <c r="C810" t="str">
        <v>LEDESMA ROSALIA</v>
      </c>
      <c r="D810">
        <v>0</v>
      </c>
      <c r="E810" t="str">
        <v>MERLINI</v>
      </c>
      <c r="F810" t="str">
        <v>FX DE MUÑECA</v>
      </c>
      <c r="G810" t="str">
        <v>PLACA EDR DOBLE HILERA</v>
      </c>
      <c r="H810" t="str">
        <v>VILLALBA</v>
      </c>
      <c r="I810" t="str">
        <v>ACEPTADO</v>
      </c>
      <c r="J810" t="str">
        <v>PARANÁ</v>
      </c>
      <c r="K810" t="str">
        <v>PAMI</v>
      </c>
      <c r="L810">
        <v>0</v>
      </c>
    </row>
    <row r="811" spans="2:12" x14ac:dyDescent="0.25">
      <c r="B811" s="20">
        <v>45673</v>
      </c>
      <c r="C811" t="str">
        <v>SCHUNK LUIS</v>
      </c>
      <c r="D811">
        <v>58</v>
      </c>
      <c r="E811" t="str">
        <v>CESAR MEYNET</v>
      </c>
      <c r="F811" t="str">
        <v>DISPLACIA.CAD</v>
      </c>
      <c r="G811" t="str">
        <v>PTC</v>
      </c>
      <c r="H811">
        <v>0</v>
      </c>
      <c r="I811" t="str">
        <v>ACEPTADO</v>
      </c>
      <c r="J811" t="str">
        <v>BOVRIL</v>
      </c>
      <c r="K811" t="str">
        <v>S/M</v>
      </c>
      <c r="L811">
        <v>0</v>
      </c>
    </row>
    <row r="812" spans="2:12" x14ac:dyDescent="0.25">
      <c r="B812" s="20">
        <v>45674</v>
      </c>
      <c r="C812" t="str">
        <v>MULLER HELMA LEA</v>
      </c>
      <c r="D812">
        <v>89</v>
      </c>
      <c r="E812" t="str">
        <v>MERLINI</v>
      </c>
      <c r="F812" t="str">
        <v>FX DE CADERA</v>
      </c>
      <c r="G812" t="str">
        <v>CLAVO GAMMA</v>
      </c>
      <c r="H812" t="str">
        <v>VILLALBA</v>
      </c>
      <c r="I812" t="str">
        <v>ACEPTADO</v>
      </c>
      <c r="J812" t="str">
        <v>PARANÁ</v>
      </c>
      <c r="K812" t="str">
        <v>PAMI</v>
      </c>
      <c r="L812">
        <v>0</v>
      </c>
    </row>
    <row r="813" spans="2:12" x14ac:dyDescent="0.25">
      <c r="B813" s="20">
        <v>45674</v>
      </c>
      <c r="C813" t="str">
        <v>CRUZ NESTOR</v>
      </c>
      <c r="D813">
        <v>51</v>
      </c>
      <c r="E813" t="str">
        <v>MERLINI</v>
      </c>
      <c r="F813" t="str">
        <v>ESTRECHO LUMB</v>
      </c>
      <c r="G813" t="str">
        <v>SIST. RETRACTOR. SIST.LED</v>
      </c>
      <c r="H813">
        <v>0</v>
      </c>
      <c r="I813" t="str">
        <v>ACEPTADO</v>
      </c>
      <c r="J813">
        <v>0</v>
      </c>
      <c r="K813" t="str">
        <v>S/M</v>
      </c>
      <c r="L813">
        <v>0</v>
      </c>
    </row>
    <row r="814" spans="2:12" x14ac:dyDescent="0.25">
      <c r="B814" s="20">
        <v>45675</v>
      </c>
      <c r="C814" t="str">
        <v>DEMUTTE BEATRIZ PIEDAD</v>
      </c>
      <c r="D814">
        <v>75</v>
      </c>
      <c r="E814">
        <v>0</v>
      </c>
      <c r="F814" t="str">
        <v>ESTRECHO LUMB</v>
      </c>
      <c r="G814" t="str">
        <v>SISTEMA FIJACION COLUMN</v>
      </c>
      <c r="H814" t="str">
        <v>VILLALBA</v>
      </c>
      <c r="I814" t="str">
        <v>ACEPTADO</v>
      </c>
      <c r="J814" t="str">
        <v>PARANÁ</v>
      </c>
      <c r="K814" t="str">
        <v>PAMI</v>
      </c>
      <c r="L814">
        <v>0</v>
      </c>
    </row>
    <row r="815" spans="2:12" x14ac:dyDescent="0.25">
      <c r="B815" s="20">
        <v>45677</v>
      </c>
      <c r="C815" t="str">
        <v>SCHONHALS ERNESTO</v>
      </c>
      <c r="D815">
        <v>79</v>
      </c>
      <c r="E815" t="str">
        <v>YACOMO</v>
      </c>
      <c r="F815" t="str">
        <v>FX DE COLUMNA</v>
      </c>
      <c r="G815" t="str">
        <v>SET CIFOPLASTIA</v>
      </c>
      <c r="H815" t="str">
        <v>VILLALBA</v>
      </c>
      <c r="I815" t="str">
        <v>ACEPTADO</v>
      </c>
      <c r="J815" t="str">
        <v>PARANÁ</v>
      </c>
      <c r="K815" t="str">
        <v>PAMI</v>
      </c>
      <c r="L815">
        <v>0</v>
      </c>
    </row>
    <row r="816" spans="2:12" x14ac:dyDescent="0.25">
      <c r="B816" s="20">
        <v>45677</v>
      </c>
      <c r="C816" t="str">
        <v>GILES LUISA MATILDE</v>
      </c>
      <c r="D816">
        <v>74</v>
      </c>
      <c r="E816" t="str">
        <v>MERLINI</v>
      </c>
      <c r="F816" t="str">
        <v>FX DE CADERA</v>
      </c>
      <c r="G816" t="str">
        <v>CLAVO GAMMA</v>
      </c>
      <c r="H816" t="str">
        <v>VILLALBA</v>
      </c>
      <c r="I816" t="str">
        <v>ACEPTADO</v>
      </c>
      <c r="J816" t="str">
        <v>PARANÁ</v>
      </c>
      <c r="K816" t="str">
        <v>PAMI</v>
      </c>
      <c r="L816">
        <v>0</v>
      </c>
    </row>
    <row r="817" spans="2:12" x14ac:dyDescent="0.25">
      <c r="B817" s="20">
        <v>45677</v>
      </c>
      <c r="C817" t="str">
        <v>ALARCON MAXIMA GRE</v>
      </c>
      <c r="D817">
        <v>83</v>
      </c>
      <c r="E817" t="str">
        <v>MERLINI</v>
      </c>
      <c r="F817" t="str">
        <v>FX DE CADERA</v>
      </c>
      <c r="G817" t="str">
        <v>PTC. COTILO.</v>
      </c>
      <c r="H817" t="str">
        <v>VILLALBA</v>
      </c>
      <c r="I817" t="str">
        <v>ACEPTADO</v>
      </c>
      <c r="J817" t="str">
        <v>PARANÁ</v>
      </c>
      <c r="K817" t="str">
        <v>PAMI</v>
      </c>
      <c r="L817">
        <v>0</v>
      </c>
    </row>
    <row r="818" spans="2:12" x14ac:dyDescent="0.25">
      <c r="B818" s="20">
        <v>45686</v>
      </c>
      <c r="C818" t="str">
        <v>MANETTI MIGUEL</v>
      </c>
      <c r="D818">
        <v>71</v>
      </c>
      <c r="E818" t="str">
        <v xml:space="preserve">HERMIDA </v>
      </c>
      <c r="F818" t="str">
        <v>RTR</v>
      </c>
      <c r="G818">
        <v>0</v>
      </c>
      <c r="H818" t="str">
        <v>VILLALBA</v>
      </c>
      <c r="I818" t="str">
        <v>ACEPTADO</v>
      </c>
      <c r="J818" t="str">
        <v>PARANÁ</v>
      </c>
      <c r="K818" t="str">
        <v>PAMI</v>
      </c>
      <c r="L818">
        <v>0</v>
      </c>
    </row>
    <row r="819" spans="2:12" x14ac:dyDescent="0.25">
      <c r="B819" s="20">
        <v>45695</v>
      </c>
      <c r="C819" t="str">
        <v>Herrera German</v>
      </c>
      <c r="D819">
        <v>57</v>
      </c>
      <c r="E819" t="str">
        <v xml:space="preserve">URANGA </v>
      </c>
      <c r="F819" t="str">
        <v>Lumbalgia</v>
      </c>
      <c r="G819" t="str">
        <v>4 tornillos 1 plif 1 sustituto oseo</v>
      </c>
      <c r="H819">
        <v>0</v>
      </c>
      <c r="I819" t="str">
        <v>ACEPTADO</v>
      </c>
      <c r="J819" t="str">
        <v>Paraná</v>
      </c>
      <c r="K819" t="str">
        <v>S/M</v>
      </c>
      <c r="L819">
        <v>0</v>
      </c>
    </row>
    <row r="820" spans="2:12" x14ac:dyDescent="0.25">
      <c r="B820" s="20">
        <v>45698</v>
      </c>
      <c r="C820" t="str">
        <v>Colliar Andrea</v>
      </c>
      <c r="D820">
        <v>33</v>
      </c>
      <c r="E820" t="str">
        <v>GARCIA VITOR</v>
      </c>
      <c r="F820" t="str">
        <v>Genu Varo</v>
      </c>
      <c r="G820" t="str">
        <v xml:space="preserve">placa tipo tomofix </v>
      </c>
      <c r="H820">
        <v>0</v>
      </c>
      <c r="I820" t="str">
        <v>ACEPTADO</v>
      </c>
      <c r="J820" t="str">
        <v>Paraná</v>
      </c>
      <c r="K820" t="str">
        <v>S/M</v>
      </c>
      <c r="L820">
        <v>0</v>
      </c>
    </row>
    <row r="821" spans="2:12" x14ac:dyDescent="0.25">
      <c r="B821" s="20">
        <v>45698</v>
      </c>
      <c r="C821" t="str">
        <v>Fontana Maria</v>
      </c>
      <c r="D821">
        <v>76</v>
      </c>
      <c r="E821" t="str">
        <v xml:space="preserve">URANGA </v>
      </c>
      <c r="F821" t="str">
        <v>fx muñeca</v>
      </c>
      <c r="G821" t="str">
        <v>placa edr doble  hilera distal 2,7/3,5 mm</v>
      </c>
      <c r="H821">
        <v>0</v>
      </c>
      <c r="I821" t="str">
        <v>ACEPTADO</v>
      </c>
      <c r="J821" t="str">
        <v>PARANÁ</v>
      </c>
      <c r="K821" t="str">
        <v>PAMI</v>
      </c>
      <c r="L821">
        <v>0</v>
      </c>
    </row>
    <row r="822" spans="2:12" x14ac:dyDescent="0.25">
      <c r="B822" s="20">
        <v>45698</v>
      </c>
      <c r="C822" t="str">
        <v>FACELI ISABEL</v>
      </c>
      <c r="D822">
        <v>71</v>
      </c>
      <c r="E822" t="str">
        <v>UCEDO</v>
      </c>
      <c r="F822" t="str">
        <v>FX DE PLATILLO TIBIAL</v>
      </c>
      <c r="G822" t="str">
        <v xml:space="preserve">CANULADOS PLACAS T TERCIO TUBO </v>
      </c>
      <c r="H822">
        <v>0</v>
      </c>
      <c r="I822" t="str">
        <v>ACEPTADO</v>
      </c>
      <c r="J822" t="str">
        <v>PARANÁ</v>
      </c>
      <c r="K822" t="str">
        <v>PAMI</v>
      </c>
      <c r="L822">
        <v>0</v>
      </c>
    </row>
    <row r="823" spans="2:12" x14ac:dyDescent="0.25">
      <c r="B823" s="20">
        <v>45699</v>
      </c>
      <c r="C823" t="str">
        <v>Ruiz Juan Alberto</v>
      </c>
      <c r="D823">
        <v>41</v>
      </c>
      <c r="E823" t="str">
        <v>UCEDO</v>
      </c>
      <c r="F823" t="str">
        <v>Pie Plano</v>
      </c>
      <c r="G823" t="str">
        <v>1 placa 2,0 mm y 2,7 mm 1 tornillo de esponjosa can 4,5 mm 1 placa 3,5 mm</v>
      </c>
      <c r="H823">
        <v>0</v>
      </c>
      <c r="I823" t="str">
        <v>ACEPTADO</v>
      </c>
      <c r="J823" t="str">
        <v>Paraná</v>
      </c>
      <c r="K823" t="str">
        <v>S/M</v>
      </c>
      <c r="L823">
        <v>0</v>
      </c>
    </row>
    <row r="824" spans="2:12" x14ac:dyDescent="0.25">
      <c r="B824" s="20">
        <v>45699</v>
      </c>
      <c r="C824" t="str">
        <v>Cena Evangelina</v>
      </c>
      <c r="D824">
        <v>74</v>
      </c>
      <c r="E824" t="str">
        <v>VENTURI</v>
      </c>
      <c r="F824" t="str">
        <v>Fx de muñeca</v>
      </c>
      <c r="G824" t="str">
        <v>placa edr doble  hilera distal 2,7/3,5 mm</v>
      </c>
      <c r="H824">
        <v>0</v>
      </c>
      <c r="I824" t="str">
        <v>ACEPTADO</v>
      </c>
      <c r="J824" t="str">
        <v>PARANÁ</v>
      </c>
      <c r="K824" t="str">
        <v>PAMI</v>
      </c>
      <c r="L824">
        <v>0</v>
      </c>
    </row>
    <row r="825" spans="2:12" x14ac:dyDescent="0.25">
      <c r="B825" s="20">
        <v>45699</v>
      </c>
      <c r="C825" t="str">
        <v>ALBARRACIN BLANCA</v>
      </c>
      <c r="D825">
        <v>72</v>
      </c>
      <c r="E825" t="str">
        <v>VENTURI</v>
      </c>
      <c r="F825" t="str">
        <v>GONARTROSIS</v>
      </c>
      <c r="G825" t="str">
        <v>RTR ANATOMICA</v>
      </c>
      <c r="H825">
        <v>0</v>
      </c>
      <c r="I825" t="str">
        <v>ACEPTADO</v>
      </c>
      <c r="J825" t="str">
        <v>PARANÁ</v>
      </c>
      <c r="K825" t="str">
        <v>PAMI</v>
      </c>
      <c r="L825">
        <v>0</v>
      </c>
    </row>
    <row r="826" spans="2:12" x14ac:dyDescent="0.25">
      <c r="B826" s="20">
        <v>45699</v>
      </c>
      <c r="C826" t="str">
        <v>BERTOLDI LUIS</v>
      </c>
      <c r="D826">
        <v>80</v>
      </c>
      <c r="E826" t="str">
        <v>UCEDO</v>
      </c>
      <c r="F826" t="str">
        <v>HALLUX VALGUS</v>
      </c>
      <c r="G826" t="str">
        <v>TORNILLO TIPO BAROU CANULADOS 3,0 MM CLAVIJAS 2,0 Y 1,5 MM</v>
      </c>
      <c r="H826">
        <v>0</v>
      </c>
      <c r="I826" t="str">
        <v>ACEPTADO</v>
      </c>
      <c r="J826" t="str">
        <v>PARANÁ</v>
      </c>
      <c r="K826" t="str">
        <v>PAMI</v>
      </c>
      <c r="L826">
        <v>0</v>
      </c>
    </row>
    <row r="827" spans="2:12" x14ac:dyDescent="0.25">
      <c r="B827" s="20">
        <v>45700</v>
      </c>
      <c r="C827" t="str">
        <v>GARCIA GREGORIO</v>
      </c>
      <c r="D827">
        <v>76</v>
      </c>
      <c r="E827" t="str">
        <v>STOPELLO</v>
      </c>
      <c r="F827" t="str">
        <v>1 RTR</v>
      </c>
      <c r="G827" t="str">
        <v>GONARTROSIS</v>
      </c>
      <c r="H827">
        <v>0</v>
      </c>
      <c r="I827" t="str">
        <v>ACEPTADO</v>
      </c>
      <c r="J827" t="str">
        <v>PARANÁ</v>
      </c>
      <c r="K827" t="str">
        <v>PAMI</v>
      </c>
      <c r="L827">
        <v>0</v>
      </c>
    </row>
    <row r="828" spans="2:12" x14ac:dyDescent="0.25">
      <c r="B828" s="20">
        <v>45701</v>
      </c>
      <c r="C828" t="str">
        <v>Salvetti Silvina</v>
      </c>
      <c r="D828">
        <v>41</v>
      </c>
      <c r="E828" t="str">
        <v>GARCIA VITOR</v>
      </c>
      <c r="F828" t="str">
        <v>Lesion osteocondral de rodilla izq</v>
      </c>
      <c r="G828" t="str">
        <v>1 set de microfracturas y osaicoplastia para rodilla</v>
      </c>
      <c r="H828">
        <v>0</v>
      </c>
      <c r="I828" t="str">
        <v>ACEPTADO</v>
      </c>
      <c r="J828" t="str">
        <v>La Paz</v>
      </c>
      <c r="K828" t="str">
        <v>S/M</v>
      </c>
      <c r="L828">
        <v>0</v>
      </c>
    </row>
    <row r="829" spans="2:12" x14ac:dyDescent="0.25">
      <c r="B829" s="20">
        <v>45701</v>
      </c>
      <c r="C829" t="str">
        <v>Torres Alvaro</v>
      </c>
      <c r="D829">
        <v>16</v>
      </c>
      <c r="E829" t="str">
        <v>GARCIA VITOR</v>
      </c>
      <c r="F829" t="str">
        <v>lca</v>
      </c>
      <c r="G829" t="str">
        <v>1 boton 2 tornillos de peek 1 arpon knoless 5 mm grampa set de fresaspara lca</v>
      </c>
      <c r="H829">
        <v>0</v>
      </c>
      <c r="I829" t="str">
        <v>ACEPTADO</v>
      </c>
      <c r="J829" t="str">
        <v>Victoria</v>
      </c>
      <c r="K829" t="str">
        <v>S/M</v>
      </c>
      <c r="L829">
        <v>0</v>
      </c>
    </row>
    <row r="830" spans="2:12" x14ac:dyDescent="0.25">
      <c r="B830" s="20">
        <v>45701</v>
      </c>
      <c r="C830" t="str">
        <v xml:space="preserve">Monzon Nicolas </v>
      </c>
      <c r="D830">
        <v>21</v>
      </c>
      <c r="E830" t="str">
        <v>STOPELLO</v>
      </c>
      <c r="F830" t="str">
        <v>LCA</v>
      </c>
      <c r="G830" t="str">
        <v>1 BOTON TIPO KUROSAKA 2 BOTON F</v>
      </c>
      <c r="H830">
        <v>0</v>
      </c>
      <c r="I830" t="str">
        <v>ACEPTADO</v>
      </c>
      <c r="J830" t="str">
        <v>NOGOYA</v>
      </c>
      <c r="K830" t="str">
        <v>S/M</v>
      </c>
      <c r="L830">
        <v>0</v>
      </c>
    </row>
    <row r="831" spans="2:12" x14ac:dyDescent="0.25">
      <c r="B831" s="20">
        <v>45701</v>
      </c>
      <c r="C831" t="str">
        <v xml:space="preserve">Rechach Carmen </v>
      </c>
      <c r="D831">
        <v>46</v>
      </c>
      <c r="E831" t="str">
        <v>STOPELLO</v>
      </c>
      <c r="F831" t="str">
        <v>displasia de cadera</v>
      </c>
      <c r="G831" t="str">
        <v>1 ptc no cementada</v>
      </c>
      <c r="H831">
        <v>0</v>
      </c>
      <c r="I831" t="str">
        <v>ACEPTADO</v>
      </c>
      <c r="J831" t="str">
        <v>Herrera</v>
      </c>
      <c r="K831" t="str">
        <v>S/M</v>
      </c>
      <c r="L831">
        <v>0</v>
      </c>
    </row>
    <row r="832" spans="2:12" x14ac:dyDescent="0.25">
      <c r="B832" s="20">
        <v>45701</v>
      </c>
      <c r="C832" t="str">
        <v>Dominguez Sara</v>
      </c>
      <c r="D832">
        <v>72</v>
      </c>
      <c r="E832" t="str">
        <v>GARCIA VITOR</v>
      </c>
      <c r="F832" t="str">
        <v>coxartrosis</v>
      </c>
      <c r="G832" t="str">
        <v>ptc de revision no cementada</v>
      </c>
      <c r="H832">
        <v>0</v>
      </c>
      <c r="I832" t="str">
        <v>ACEPTADO</v>
      </c>
      <c r="J832" t="str">
        <v>PARANÁ</v>
      </c>
      <c r="K832" t="str">
        <v>PAMI</v>
      </c>
      <c r="L832">
        <v>0</v>
      </c>
    </row>
    <row r="833" spans="2:12" x14ac:dyDescent="0.25">
      <c r="B833" s="20">
        <v>45701</v>
      </c>
      <c r="C833" t="str">
        <v>Del matto Mirna</v>
      </c>
      <c r="D833">
        <v>86</v>
      </c>
      <c r="E833" t="str">
        <v xml:space="preserve">URANGA </v>
      </c>
      <c r="F833" t="str">
        <v>Fx de cadera</v>
      </c>
      <c r="G833" t="str">
        <v>clavo gamma</v>
      </c>
      <c r="H833">
        <v>0</v>
      </c>
      <c r="I833" t="str">
        <v>ACEPTADO</v>
      </c>
      <c r="J833" t="str">
        <v>PARANÁ</v>
      </c>
      <c r="K833" t="str">
        <v>PAMI</v>
      </c>
      <c r="L833">
        <v>0</v>
      </c>
    </row>
    <row r="834" spans="2:12" x14ac:dyDescent="0.25">
      <c r="B834" s="20">
        <v>45701</v>
      </c>
      <c r="C834" t="str">
        <v>WAGNER OLGA</v>
      </c>
      <c r="D834">
        <v>0</v>
      </c>
      <c r="E834" t="str">
        <v>GARCIA VITOR</v>
      </c>
      <c r="F834">
        <v>0</v>
      </c>
      <c r="G834" t="str">
        <v xml:space="preserve">CANULADOS 6,5 MM </v>
      </c>
      <c r="H834">
        <v>0</v>
      </c>
      <c r="I834" t="str">
        <v>ACEPTADO</v>
      </c>
      <c r="J834" t="str">
        <v>PARANÁ</v>
      </c>
      <c r="K834" t="str">
        <v>PAMI</v>
      </c>
      <c r="L834">
        <v>0</v>
      </c>
    </row>
    <row r="835" spans="2:12" x14ac:dyDescent="0.25">
      <c r="B835" s="20">
        <v>45702</v>
      </c>
      <c r="C835" t="str">
        <v>FRASCONA JOSE</v>
      </c>
      <c r="D835">
        <v>84</v>
      </c>
      <c r="E835" t="str">
        <v xml:space="preserve">URANGA </v>
      </c>
      <c r="F835" t="str">
        <v>FX DE HOMBRO</v>
      </c>
      <c r="G835" t="str">
        <v>PROTESIS T DE HOMBRO</v>
      </c>
      <c r="H835">
        <v>0</v>
      </c>
      <c r="I835" t="str">
        <v>ACEPTADO</v>
      </c>
      <c r="J835" t="str">
        <v>PARANÁ</v>
      </c>
      <c r="K835" t="str">
        <v>PAMI</v>
      </c>
      <c r="L835">
        <v>0</v>
      </c>
    </row>
    <row r="836" spans="2:12" x14ac:dyDescent="0.25">
      <c r="B836" s="20">
        <v>45703</v>
      </c>
      <c r="C836" t="str">
        <v>CALBUCOY JUANA</v>
      </c>
      <c r="D836">
        <v>73</v>
      </c>
      <c r="E836">
        <v>0</v>
      </c>
      <c r="F836">
        <v>0</v>
      </c>
      <c r="G836" t="str">
        <v>RTR VASTAGOS Y CUÑAS</v>
      </c>
      <c r="H836">
        <v>0</v>
      </c>
      <c r="I836" t="str">
        <v>ACEPTADO</v>
      </c>
      <c r="J836" t="str">
        <v>PARANÁ</v>
      </c>
      <c r="K836" t="str">
        <v>PAMI</v>
      </c>
      <c r="L836">
        <v>0</v>
      </c>
    </row>
    <row r="837" spans="2:12" x14ac:dyDescent="0.25">
      <c r="B837" s="20">
        <v>45704</v>
      </c>
      <c r="C837" t="str">
        <v>SIBOLDI MARIA</v>
      </c>
      <c r="D837">
        <v>69</v>
      </c>
      <c r="E837" t="str">
        <v>COLLOMB</v>
      </c>
      <c r="F837" t="str">
        <v>RUP DEL MANG ROT</v>
      </c>
      <c r="G837" t="str">
        <v>2 ARPONES 3,5</v>
      </c>
      <c r="H837">
        <v>0</v>
      </c>
      <c r="I837" t="str">
        <v>ACEPTADO</v>
      </c>
      <c r="J837" t="str">
        <v>PARANÁ</v>
      </c>
      <c r="K837" t="str">
        <v>PAMI</v>
      </c>
      <c r="L837">
        <v>0</v>
      </c>
    </row>
    <row r="838" spans="2:12" x14ac:dyDescent="0.25">
      <c r="B838" s="20">
        <v>45705</v>
      </c>
      <c r="C838" t="str">
        <v>FONTANA ANA MARIA</v>
      </c>
      <c r="D838">
        <v>94</v>
      </c>
      <c r="E838" t="str">
        <v xml:space="preserve">URANGA </v>
      </c>
      <c r="F838" t="str">
        <v>FX DE CADERA</v>
      </c>
      <c r="G838" t="str">
        <v>THOMPSON</v>
      </c>
      <c r="H838">
        <v>0</v>
      </c>
      <c r="I838" t="str">
        <v>ACEPTADO</v>
      </c>
      <c r="J838" t="str">
        <v>PARANÁ</v>
      </c>
      <c r="K838" t="str">
        <v>PAMI</v>
      </c>
      <c r="L838">
        <v>0</v>
      </c>
    </row>
    <row r="839" spans="2:12" x14ac:dyDescent="0.25">
      <c r="B839" s="20">
        <v>45706</v>
      </c>
      <c r="C839" t="str">
        <v>Rosales Julio _</v>
      </c>
      <c r="D839">
        <v>57</v>
      </c>
      <c r="E839" t="str">
        <v>YACOMO</v>
      </c>
      <c r="F839" t="str">
        <v>Genu Varo</v>
      </c>
      <c r="G839" t="str">
        <v>1 placa puddu</v>
      </c>
      <c r="H839">
        <v>0</v>
      </c>
      <c r="I839" t="str">
        <v>ACEPTADO</v>
      </c>
      <c r="J839" t="str">
        <v>Paraná</v>
      </c>
      <c r="K839" t="str">
        <v>S/M</v>
      </c>
      <c r="L839">
        <v>0</v>
      </c>
    </row>
    <row r="840" spans="2:12" x14ac:dyDescent="0.25">
      <c r="B840" s="20">
        <v>45706</v>
      </c>
      <c r="C840" t="str">
        <v>GRINOVERO MARTA</v>
      </c>
      <c r="D840">
        <v>73</v>
      </c>
      <c r="E840" t="str">
        <v>YACOMO</v>
      </c>
      <c r="F840" t="str">
        <v>GONARTROSIS</v>
      </c>
      <c r="G840" t="str">
        <v>RTR</v>
      </c>
      <c r="H840">
        <v>0</v>
      </c>
      <c r="I840" t="str">
        <v>ACEPTADO</v>
      </c>
      <c r="J840" t="str">
        <v>PARANÁ</v>
      </c>
      <c r="K840" t="str">
        <v>PAMI</v>
      </c>
      <c r="L840">
        <v>0</v>
      </c>
    </row>
    <row r="841" spans="2:12" x14ac:dyDescent="0.25">
      <c r="B841" s="20">
        <v>45707</v>
      </c>
      <c r="C841" t="str">
        <v>Cuevas Milton</v>
      </c>
      <c r="D841">
        <v>17</v>
      </c>
      <c r="E841" t="str">
        <v>STOPELLO</v>
      </c>
      <c r="F841" t="str">
        <v>LCA</v>
      </c>
      <c r="G841" t="str">
        <v>1BOTON 2 TORNILLOS</v>
      </c>
      <c r="H841">
        <v>0</v>
      </c>
      <c r="I841" t="str">
        <v>ACEPTADO</v>
      </c>
      <c r="J841" t="str">
        <v>GUALEGUAY</v>
      </c>
      <c r="K841" t="str">
        <v>S/M</v>
      </c>
      <c r="L841">
        <v>0</v>
      </c>
    </row>
    <row r="842" spans="2:12" x14ac:dyDescent="0.25">
      <c r="B842" s="20">
        <v>45707</v>
      </c>
      <c r="C842" t="str">
        <v xml:space="preserve">ROMERO JUANA </v>
      </c>
      <c r="D842">
        <v>70</v>
      </c>
      <c r="E842" t="str">
        <v>STOPELLO</v>
      </c>
      <c r="F842" t="str">
        <v>INFECCION PROTESICA</v>
      </c>
      <c r="G842" t="str">
        <v xml:space="preserve">1 ESPACIADOR ARTICULADO 3 DOSIS DE CEMENTO CON ANT </v>
      </c>
      <c r="H842">
        <v>0</v>
      </c>
      <c r="I842" t="str">
        <v>ACEPTADO</v>
      </c>
      <c r="J842" t="str">
        <v>PARANÁ</v>
      </c>
      <c r="K842" t="str">
        <v>PAMI</v>
      </c>
      <c r="L842">
        <v>0</v>
      </c>
    </row>
    <row r="843" spans="2:12" x14ac:dyDescent="0.25">
      <c r="B843" s="20">
        <v>45708</v>
      </c>
      <c r="C843" t="str">
        <v>HILDEBRANDT TERESA</v>
      </c>
      <c r="D843">
        <v>77</v>
      </c>
      <c r="E843" t="str">
        <v>YACOMO</v>
      </c>
      <c r="F843" t="str">
        <v>GONARTROSIS</v>
      </c>
      <c r="G843" t="str">
        <v>RTR ANATOMICA</v>
      </c>
      <c r="H843" t="str">
        <v>VILLALBA</v>
      </c>
      <c r="I843" t="str">
        <v>ACEPTADO</v>
      </c>
      <c r="J843" t="str">
        <v>PARANÁ</v>
      </c>
      <c r="K843" t="str">
        <v>PAMI</v>
      </c>
      <c r="L843">
        <v>0</v>
      </c>
    </row>
    <row r="844" spans="2:12" x14ac:dyDescent="0.25">
      <c r="B844" s="20">
        <v>45708</v>
      </c>
      <c r="C844" t="str">
        <v>VITOR EDUARDO</v>
      </c>
      <c r="D844">
        <v>74</v>
      </c>
      <c r="E844">
        <v>0</v>
      </c>
      <c r="F844" t="str">
        <v>FX CADERA IZQ</v>
      </c>
      <c r="G844" t="str">
        <v>CLAVO GAMMA</v>
      </c>
      <c r="H844" t="str">
        <v>VILLABA</v>
      </c>
      <c r="I844" t="str">
        <v>ACEPTADO</v>
      </c>
      <c r="J844" t="str">
        <v>PARANÁ</v>
      </c>
      <c r="K844" t="str">
        <v>PAMI</v>
      </c>
      <c r="L844">
        <v>0</v>
      </c>
    </row>
    <row r="845" spans="2:12" x14ac:dyDescent="0.25">
      <c r="B845" s="20">
        <v>45709</v>
      </c>
      <c r="C845" t="str">
        <v>GAREIS MARIA</v>
      </c>
      <c r="D845">
        <v>68</v>
      </c>
      <c r="E845" t="str">
        <v>SUKSDORF</v>
      </c>
      <c r="F845" t="str">
        <v>GENU VARO</v>
      </c>
      <c r="G845" t="str">
        <v>RTR</v>
      </c>
      <c r="H845">
        <v>0</v>
      </c>
      <c r="I845" t="str">
        <v>ACEPTADO</v>
      </c>
      <c r="J845" t="str">
        <v>PARANÁ</v>
      </c>
      <c r="K845" t="str">
        <v>PAMI</v>
      </c>
      <c r="L845">
        <v>0</v>
      </c>
    </row>
    <row r="846" spans="2:12" x14ac:dyDescent="0.25">
      <c r="B846" s="20">
        <v>45709</v>
      </c>
      <c r="C846" t="str">
        <v xml:space="preserve">MOREIRA HORACIO </v>
      </c>
      <c r="D846">
        <v>69</v>
      </c>
      <c r="E846" t="str">
        <v xml:space="preserve">URANGA </v>
      </c>
      <c r="F846" t="str">
        <v>ESCOLISIS</v>
      </c>
      <c r="G846" t="str">
        <v>BARRA/TORNI/PLIFF</v>
      </c>
      <c r="H846" t="str">
        <v>IP MAGNA</v>
      </c>
      <c r="I846" t="str">
        <v>ACEPTADO</v>
      </c>
      <c r="J846" t="str">
        <v>PARANÁ</v>
      </c>
      <c r="K846" t="str">
        <v>PAMI</v>
      </c>
      <c r="L846">
        <v>0</v>
      </c>
    </row>
    <row r="847" spans="2:12" x14ac:dyDescent="0.25">
      <c r="B847" s="20">
        <v>45710</v>
      </c>
      <c r="C847" t="str">
        <v>ORTMAN LIDIA</v>
      </c>
      <c r="D847">
        <v>80</v>
      </c>
      <c r="E847" t="str">
        <v>GARCIA VITOR</v>
      </c>
      <c r="F847" t="str">
        <v>INFECCION PERIPROTESICA</v>
      </c>
      <c r="G847" t="str">
        <v xml:space="preserve">ESPACIADOR DE CEMENTO CON ANTIBIOTICO 2 DOSIS DE CEMENTO CON ANTIBIOTICO </v>
      </c>
      <c r="H847">
        <v>0</v>
      </c>
      <c r="I847" t="str">
        <v>ACEPTADO</v>
      </c>
      <c r="J847">
        <v>0</v>
      </c>
      <c r="K847" t="str">
        <v>PAMI</v>
      </c>
      <c r="L847">
        <v>0</v>
      </c>
    </row>
    <row r="848" spans="2:12" x14ac:dyDescent="0.25">
      <c r="B848" s="20">
        <v>45715</v>
      </c>
      <c r="C848" t="str">
        <v>CACERES ALEJANDRA</v>
      </c>
      <c r="D848">
        <v>58</v>
      </c>
      <c r="E848" t="str">
        <v>STOPELLO</v>
      </c>
      <c r="F848" t="str">
        <v>COXALGIA</v>
      </c>
      <c r="G848" t="str">
        <v>PTC DE REVISION NO CEMENTADA DE FIJACION DISTAL</v>
      </c>
      <c r="H848">
        <v>0</v>
      </c>
      <c r="I848" t="str">
        <v>ACEPTADO</v>
      </c>
      <c r="J848" t="str">
        <v>PARANÁ</v>
      </c>
      <c r="K848" t="str">
        <v>PAMI</v>
      </c>
      <c r="L848">
        <v>0</v>
      </c>
    </row>
    <row r="849" spans="2:12" x14ac:dyDescent="0.25">
      <c r="B849" s="20">
        <v>45716</v>
      </c>
      <c r="C849" t="str">
        <v>Directer Catalina</v>
      </c>
      <c r="D849">
        <v>73</v>
      </c>
      <c r="E849" t="str">
        <v xml:space="preserve">URANGA </v>
      </c>
      <c r="F849" t="str">
        <v>Fx de humero</v>
      </c>
      <c r="G849" t="str">
        <v>clavo endomedular de humero</v>
      </c>
      <c r="H849">
        <v>0</v>
      </c>
      <c r="I849" t="str">
        <v>ACEPTADO</v>
      </c>
      <c r="J849" t="str">
        <v>PARANÁ</v>
      </c>
      <c r="K849" t="str">
        <v>PAMI</v>
      </c>
      <c r="L849">
        <v>0</v>
      </c>
    </row>
    <row r="850" spans="2:12" x14ac:dyDescent="0.25">
      <c r="B850" s="20">
        <v>45721</v>
      </c>
      <c r="C850" t="str">
        <v>Franco Juana</v>
      </c>
      <c r="D850">
        <v>0</v>
      </c>
      <c r="E850" t="str">
        <v>garabentos</v>
      </c>
      <c r="F850" t="str">
        <v>Fx de muñeca</v>
      </c>
      <c r="G850" t="str">
        <v>placa edr doble hilera distal bloqueada 3,5 mm</v>
      </c>
      <c r="H850">
        <v>0</v>
      </c>
      <c r="I850" t="str">
        <v>ACEPTADO</v>
      </c>
      <c r="J850" t="str">
        <v>PARANÁ</v>
      </c>
      <c r="K850" t="str">
        <v>PAMI</v>
      </c>
      <c r="L850">
        <v>0</v>
      </c>
    </row>
    <row r="851" spans="2:12" x14ac:dyDescent="0.25">
      <c r="B851" s="20">
        <v>45721</v>
      </c>
      <c r="C851" t="str">
        <v>Gauna Ramona</v>
      </c>
      <c r="D851">
        <v>0</v>
      </c>
      <c r="E851" t="str">
        <v>garabentos</v>
      </c>
      <c r="F851" t="str">
        <v>Fx de cadera</v>
      </c>
      <c r="G851" t="str">
        <v xml:space="preserve">PTC CEMENTADA COTILO DOBLE MOVILIDAD </v>
      </c>
      <c r="H851">
        <v>0</v>
      </c>
      <c r="I851" t="str">
        <v>ACEPTADO</v>
      </c>
      <c r="J851" t="str">
        <v>PARANÁ</v>
      </c>
      <c r="K851" t="str">
        <v>PAMI</v>
      </c>
      <c r="L851">
        <v>0</v>
      </c>
    </row>
    <row r="852" spans="2:12" x14ac:dyDescent="0.25">
      <c r="B852" s="20">
        <v>45722</v>
      </c>
      <c r="C852" t="str">
        <v>Giacomini Ruben</v>
      </c>
      <c r="D852">
        <v>0</v>
      </c>
      <c r="E852" t="str">
        <v>YACOMO</v>
      </c>
      <c r="F852" t="str">
        <v>rtr</v>
      </c>
      <c r="G852" t="str">
        <v>gonartrosis</v>
      </c>
      <c r="H852">
        <v>0</v>
      </c>
      <c r="I852" t="str">
        <v>ACEPTADO</v>
      </c>
      <c r="J852" t="str">
        <v>PARANÁ</v>
      </c>
      <c r="K852" t="str">
        <v>PAMI</v>
      </c>
      <c r="L852">
        <v>0</v>
      </c>
    </row>
    <row r="853" spans="2:12" x14ac:dyDescent="0.25">
      <c r="B853" s="20">
        <v>45723</v>
      </c>
      <c r="C853" t="str">
        <v>Rodriguez Leo</v>
      </c>
      <c r="D853">
        <v>24</v>
      </c>
      <c r="E853" t="str">
        <v>GARCIA VITOR</v>
      </c>
      <c r="F853" t="str">
        <v>fx femur</v>
      </c>
      <c r="G853" t="str">
        <v>3 cabezas de banco de femur</v>
      </c>
      <c r="H853">
        <v>0</v>
      </c>
      <c r="I853" t="str">
        <v>ACEPTADO</v>
      </c>
      <c r="J853" t="str">
        <v>Gualeguay</v>
      </c>
      <c r="K853" t="str">
        <v>S/M</v>
      </c>
      <c r="L853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TextBox1">
          <controlPr defaultSize="0" autoLine="0" autoPict="0" linkedCell="B1" r:id="rId4">
            <anchor moveWithCells="1">
              <from>
                <xdr:col>0</xdr:col>
                <xdr:colOff>419100</xdr:colOff>
                <xdr:row>0</xdr:row>
                <xdr:rowOff>28575</xdr:rowOff>
              </from>
              <to>
                <xdr:col>3</xdr:col>
                <xdr:colOff>752475</xdr:colOff>
                <xdr:row>0</xdr:row>
                <xdr:rowOff>428625</xdr:rowOff>
              </to>
            </anchor>
          </controlPr>
        </control>
      </mc:Choice>
      <mc:Fallback>
        <control shapeId="8193" r:id="rId3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4B58C-D10B-49AB-82D9-A6CAB68791FE}">
  <sheetPr codeName="Hoja2">
    <tabColor rgb="FF0070C0"/>
  </sheetPr>
  <dimension ref="B1:L822"/>
  <sheetViews>
    <sheetView workbookViewId="0">
      <selection activeCell="M3" sqref="M3"/>
    </sheetView>
  </sheetViews>
  <sheetFormatPr baseColWidth="10" defaultRowHeight="15" x14ac:dyDescent="0.25"/>
  <cols>
    <col min="2" max="2" width="29.140625" customWidth="1"/>
    <col min="3" max="3" width="29.140625" bestFit="1" customWidth="1"/>
    <col min="6" max="6" width="14.5703125" bestFit="1" customWidth="1"/>
    <col min="7" max="7" width="21.42578125" bestFit="1" customWidth="1"/>
    <col min="8" max="8" width="19.7109375" bestFit="1" customWidth="1"/>
  </cols>
  <sheetData>
    <row r="1" spans="2:12" s="21" customFormat="1" ht="32.25" customHeight="1" x14ac:dyDescent="0.25">
      <c r="B1" s="21" t="s">
        <v>1663</v>
      </c>
      <c r="C1" s="23" t="s">
        <v>1664</v>
      </c>
      <c r="D1" s="23" t="s">
        <v>1665</v>
      </c>
      <c r="E1" s="23" t="s">
        <v>1666</v>
      </c>
      <c r="F1" s="23" t="s">
        <v>1667</v>
      </c>
      <c r="G1" s="24" t="s">
        <v>1671</v>
      </c>
      <c r="H1" s="23" t="s">
        <v>1668</v>
      </c>
      <c r="I1" s="23" t="s">
        <v>1672</v>
      </c>
      <c r="J1" s="23" t="s">
        <v>1669</v>
      </c>
      <c r="K1" s="23" t="s">
        <v>1673</v>
      </c>
      <c r="L1" s="23" t="s">
        <v>1670</v>
      </c>
    </row>
    <row r="2" spans="2:12" x14ac:dyDescent="0.25">
      <c r="B2" cm="1">
        <f t="array" ref="B2:L822">_xlfn._xlws.FILTER(Datos[],ISNUMBER(SEARCH(B1,Datos[MATERIAL])),"No Existe")</f>
        <v>44928</v>
      </c>
      <c r="C2" t="str">
        <v>VILCHE YAIR</v>
      </c>
      <c r="D2">
        <v>21</v>
      </c>
      <c r="E2" t="str">
        <v>NARVAEZ</v>
      </c>
      <c r="F2" t="str">
        <v xml:space="preserve">AMPUTACION </v>
      </c>
      <c r="G2" t="str">
        <v xml:space="preserve">PILON TIBIAL </v>
      </c>
      <c r="H2">
        <v>0</v>
      </c>
      <c r="I2" t="str">
        <v xml:space="preserve">INICIADO </v>
      </c>
      <c r="J2" t="str">
        <v>PARANÁ</v>
      </c>
      <c r="K2" t="str">
        <v>S/M</v>
      </c>
      <c r="L2">
        <v>0</v>
      </c>
    </row>
    <row r="3" spans="2:12" x14ac:dyDescent="0.25">
      <c r="B3">
        <v>44930</v>
      </c>
      <c r="C3" t="str">
        <v xml:space="preserve">AGUIRRE BLANCA </v>
      </c>
      <c r="D3">
        <v>73</v>
      </c>
      <c r="E3" t="str">
        <v>GARCIA VITOR</v>
      </c>
      <c r="F3" t="str">
        <v>AFLOJ PROTS</v>
      </c>
      <c r="G3" t="str">
        <v xml:space="preserve">PTC REVIS/COTILO DOBLE </v>
      </c>
      <c r="H3" t="str">
        <v>VILLALBA</v>
      </c>
      <c r="I3" t="str">
        <v>ACEPTADO</v>
      </c>
      <c r="J3" t="str">
        <v>PARANÁ</v>
      </c>
      <c r="K3" t="str">
        <v>PAMI</v>
      </c>
      <c r="L3">
        <v>0</v>
      </c>
    </row>
    <row r="4" spans="2:12" x14ac:dyDescent="0.25">
      <c r="B4">
        <v>44987</v>
      </c>
      <c r="C4" t="str">
        <v xml:space="preserve">REY MARIA    </v>
      </c>
      <c r="D4">
        <v>69</v>
      </c>
      <c r="E4" t="str">
        <v>RESIDENTES</v>
      </c>
      <c r="F4" t="str">
        <v>FX MUÑECA</v>
      </c>
      <c r="G4" t="str">
        <v xml:space="preserve">P. VOLAR </v>
      </c>
      <c r="H4" t="str">
        <v xml:space="preserve">IP MAGNA </v>
      </c>
      <c r="I4" t="str">
        <v>ACEPTADO</v>
      </c>
      <c r="J4" t="str">
        <v>PARANÁ</v>
      </c>
      <c r="K4" t="str">
        <v>PAMI</v>
      </c>
      <c r="L4">
        <v>0</v>
      </c>
    </row>
    <row r="5" spans="2:12" x14ac:dyDescent="0.25">
      <c r="B5">
        <v>44987</v>
      </c>
      <c r="C5" t="str">
        <v xml:space="preserve">LOPEZ MANUEL </v>
      </c>
      <c r="D5">
        <v>75</v>
      </c>
      <c r="E5" t="str">
        <v>STOPELLO</v>
      </c>
      <c r="F5" t="str">
        <v>RODILLA</v>
      </c>
      <c r="G5" t="str">
        <v xml:space="preserve">PTR  DE REVISION   DER </v>
      </c>
      <c r="H5" t="str">
        <v>VILLALBA</v>
      </c>
      <c r="I5" t="str">
        <v>ACEPTADO</v>
      </c>
      <c r="J5" t="str">
        <v>PARANÁ</v>
      </c>
      <c r="K5" t="str">
        <v>PAMI</v>
      </c>
      <c r="L5">
        <v>3512123222</v>
      </c>
    </row>
    <row r="6" spans="2:12" x14ac:dyDescent="0.25">
      <c r="B6">
        <v>44987</v>
      </c>
      <c r="C6" t="str">
        <v xml:space="preserve">REYNAGA RUBEN </v>
      </c>
      <c r="D6">
        <v>35</v>
      </c>
      <c r="E6" t="str">
        <v>GARCIA VITOR</v>
      </c>
      <c r="F6" t="str">
        <v xml:space="preserve">CADERA </v>
      </c>
      <c r="G6" t="str">
        <v>PTC CEMENTADA / COTILO</v>
      </c>
      <c r="H6">
        <v>0</v>
      </c>
      <c r="I6" t="str">
        <v>INICIADO</v>
      </c>
      <c r="J6" t="str">
        <v xml:space="preserve">FEDERACION </v>
      </c>
      <c r="K6" t="str">
        <v>S/M</v>
      </c>
      <c r="L6">
        <v>0</v>
      </c>
    </row>
    <row r="7" spans="2:12" x14ac:dyDescent="0.25">
      <c r="B7">
        <v>44987</v>
      </c>
      <c r="C7" t="str">
        <v xml:space="preserve">IGARTUA VICTOR </v>
      </c>
      <c r="D7">
        <v>32</v>
      </c>
      <c r="E7" t="str">
        <v>GARCIA VITOR</v>
      </c>
      <c r="F7" t="str">
        <v xml:space="preserve">CADERA </v>
      </c>
      <c r="G7" t="str">
        <v>PTC CEMENTADA / COTILO</v>
      </c>
      <c r="H7">
        <v>0</v>
      </c>
      <c r="I7" t="str">
        <v>INICIADO</v>
      </c>
      <c r="J7" t="str">
        <v>PARANÁ</v>
      </c>
      <c r="K7" t="str">
        <v>S/M</v>
      </c>
      <c r="L7">
        <v>0</v>
      </c>
    </row>
    <row r="8" spans="2:12" x14ac:dyDescent="0.25">
      <c r="B8">
        <v>44988</v>
      </c>
      <c r="C8" t="str">
        <v xml:space="preserve">PEREZ ELDA </v>
      </c>
      <c r="D8">
        <v>87</v>
      </c>
      <c r="E8" t="str">
        <v>MERLINI</v>
      </c>
      <c r="F8" t="str">
        <v>FX CADERA</v>
      </c>
      <c r="G8" t="str">
        <v xml:space="preserve">PRT CADERA BIPOLAR </v>
      </c>
      <c r="H8" t="str">
        <v xml:space="preserve">VILLALBA </v>
      </c>
      <c r="I8" t="str">
        <v>ACEPTADO</v>
      </c>
      <c r="J8" t="str">
        <v>PARANÁ</v>
      </c>
      <c r="K8" t="str">
        <v>PAMI</v>
      </c>
      <c r="L8">
        <v>0</v>
      </c>
    </row>
    <row r="9" spans="2:12" x14ac:dyDescent="0.25">
      <c r="B9">
        <v>44991</v>
      </c>
      <c r="C9" t="str">
        <v>FRANZ GERARDO</v>
      </c>
      <c r="D9">
        <v>18</v>
      </c>
      <c r="E9" t="str">
        <v>MERLINI</v>
      </c>
      <c r="F9" t="str">
        <v xml:space="preserve">TIBIA Y PERONE </v>
      </c>
      <c r="G9" t="str">
        <v>PLACA DCP/CLAVIJAS</v>
      </c>
      <c r="H9">
        <v>0</v>
      </c>
      <c r="I9" t="str">
        <v>ACEPTADO</v>
      </c>
      <c r="J9" t="str">
        <v>PARANÁ</v>
      </c>
      <c r="K9" t="str">
        <v>S/M</v>
      </c>
      <c r="L9">
        <v>0</v>
      </c>
    </row>
    <row r="10" spans="2:12" x14ac:dyDescent="0.25">
      <c r="B10">
        <v>44991</v>
      </c>
      <c r="C10" t="str">
        <v>RUBERTO MELISA</v>
      </c>
      <c r="D10">
        <v>28</v>
      </c>
      <c r="E10" t="str">
        <v>MERLINI</v>
      </c>
      <c r="F10" t="str">
        <v>MANO DER</v>
      </c>
      <c r="G10" t="str">
        <v>P. DISTAL /TORN</v>
      </c>
      <c r="H10">
        <v>0</v>
      </c>
      <c r="I10" t="str">
        <v>INICIADO</v>
      </c>
      <c r="J10" t="str">
        <v>PARANÁ</v>
      </c>
      <c r="K10" t="str">
        <v>S/M</v>
      </c>
      <c r="L10">
        <v>0</v>
      </c>
    </row>
    <row r="11" spans="2:12" x14ac:dyDescent="0.25">
      <c r="B11">
        <v>44991</v>
      </c>
      <c r="C11" t="str">
        <v>DETLER RICARDO</v>
      </c>
      <c r="D11">
        <v>39</v>
      </c>
      <c r="E11" t="str">
        <v>MERLINI</v>
      </c>
      <c r="F11" t="str">
        <v>FX MUÑECA</v>
      </c>
      <c r="G11" t="str">
        <v>PLACA DOBLE</v>
      </c>
      <c r="H11">
        <v>0</v>
      </c>
      <c r="I11" t="str">
        <v>INICIADO</v>
      </c>
      <c r="J11" t="str">
        <v>PARANÁ</v>
      </c>
      <c r="K11" t="str">
        <v>S/M</v>
      </c>
      <c r="L11">
        <v>0</v>
      </c>
    </row>
    <row r="12" spans="2:12" x14ac:dyDescent="0.25">
      <c r="B12">
        <v>44992</v>
      </c>
      <c r="C12" t="str">
        <v>BALLOHORTHS ELSA</v>
      </c>
      <c r="D12">
        <v>82</v>
      </c>
      <c r="E12" t="str">
        <v>GARCIA VITOR</v>
      </c>
      <c r="F12" t="str">
        <v xml:space="preserve">CADERA </v>
      </c>
      <c r="G12" t="str">
        <v>PTC CEMENTADA / COTILO</v>
      </c>
      <c r="H12" t="str">
        <v>VILLALBA</v>
      </c>
      <c r="I12" t="str">
        <v>ACEPTADO</v>
      </c>
      <c r="J12" t="str">
        <v>PARANÁ</v>
      </c>
      <c r="K12" t="str">
        <v>PAMI</v>
      </c>
      <c r="L12">
        <v>0</v>
      </c>
    </row>
    <row r="13" spans="2:12" x14ac:dyDescent="0.25">
      <c r="B13">
        <v>44993</v>
      </c>
      <c r="C13" t="str">
        <v xml:space="preserve">BRASESCO MIRTA </v>
      </c>
      <c r="D13">
        <v>64</v>
      </c>
      <c r="E13" t="str">
        <v>MERLINI</v>
      </c>
      <c r="F13" t="str">
        <v xml:space="preserve">FX TIBIA Y PERONE </v>
      </c>
      <c r="G13" t="str">
        <v>PLACA DCP/CLAVO ACERR.</v>
      </c>
      <c r="H13" t="str">
        <v>VILLALBA</v>
      </c>
      <c r="I13" t="str">
        <v>ACEPTADO</v>
      </c>
      <c r="J13" t="str">
        <v>PARANÁ</v>
      </c>
      <c r="K13" t="str">
        <v>PAMI</v>
      </c>
      <c r="L13">
        <v>0</v>
      </c>
    </row>
    <row r="14" spans="2:12" x14ac:dyDescent="0.25">
      <c r="B14">
        <v>44994</v>
      </c>
      <c r="C14" t="str">
        <v>CHIA HUGO</v>
      </c>
      <c r="D14">
        <v>81</v>
      </c>
      <c r="E14" t="str">
        <v>MERLINI</v>
      </c>
      <c r="F14" t="str">
        <v xml:space="preserve">FX CADERA IZQ </v>
      </c>
      <c r="G14" t="str">
        <v>CLAVO GAMMA</v>
      </c>
      <c r="H14" t="str">
        <v>VILLALBA</v>
      </c>
      <c r="I14" t="str">
        <v>OPERADO</v>
      </c>
      <c r="J14" t="str">
        <v>PARANÁ</v>
      </c>
      <c r="K14" t="str">
        <v>PAMI</v>
      </c>
      <c r="L14">
        <v>0</v>
      </c>
    </row>
    <row r="15" spans="2:12" x14ac:dyDescent="0.25">
      <c r="B15">
        <v>44994</v>
      </c>
      <c r="C15" t="str">
        <v xml:space="preserve">SANDOVAL JUAN </v>
      </c>
      <c r="D15">
        <v>78</v>
      </c>
      <c r="E15" t="str">
        <v>GARCIA VITOR</v>
      </c>
      <c r="F15" t="str">
        <v>DET.ACET.MASIVO</v>
      </c>
      <c r="G15" t="str">
        <v>PTC CEMENTADA / COTILO</v>
      </c>
      <c r="H15" t="str">
        <v>VILLALBA</v>
      </c>
      <c r="I15" t="str">
        <v>ACEPTADO</v>
      </c>
      <c r="J15" t="str">
        <v>PARANÁ</v>
      </c>
      <c r="K15" t="str">
        <v>PAMI</v>
      </c>
      <c r="L15">
        <v>154661141</v>
      </c>
    </row>
    <row r="16" spans="2:12" x14ac:dyDescent="0.25">
      <c r="B16">
        <v>44994</v>
      </c>
      <c r="C16" t="str">
        <v>ORTIZ MARIA E.</v>
      </c>
      <c r="D16">
        <v>77</v>
      </c>
      <c r="E16" t="str">
        <v>GARCIA VITOR</v>
      </c>
      <c r="F16" t="str">
        <v>COXARTROSIS</v>
      </c>
      <c r="G16" t="str">
        <v>PTC CEMENTADA / COTILO</v>
      </c>
      <c r="H16" t="str">
        <v>VILLALBA</v>
      </c>
      <c r="I16" t="str">
        <v>ACEPTADO</v>
      </c>
      <c r="J16" t="str">
        <v>PARANÁ</v>
      </c>
      <c r="K16" t="str">
        <v>PAMI</v>
      </c>
      <c r="L16">
        <v>3434621560</v>
      </c>
    </row>
    <row r="17" spans="2:12" x14ac:dyDescent="0.25">
      <c r="B17">
        <v>44994</v>
      </c>
      <c r="C17" t="str">
        <v xml:space="preserve">ALBORNOZ JORGE </v>
      </c>
      <c r="D17">
        <v>68</v>
      </c>
      <c r="E17" t="str">
        <v>MERLINI</v>
      </c>
      <c r="F17" t="str">
        <v xml:space="preserve">FX CADERA IZQ </v>
      </c>
      <c r="G17" t="str">
        <v>PTC CEMENTADA / COTILO</v>
      </c>
      <c r="H17" t="str">
        <v xml:space="preserve">IP MAGNA </v>
      </c>
      <c r="I17" t="str">
        <v>OPERADO</v>
      </c>
      <c r="J17" t="str">
        <v>PARANÁ</v>
      </c>
      <c r="K17" t="str">
        <v>PAMI</v>
      </c>
      <c r="L17">
        <v>0</v>
      </c>
    </row>
    <row r="18" spans="2:12" x14ac:dyDescent="0.25">
      <c r="B18">
        <v>44994</v>
      </c>
      <c r="C18" t="str">
        <v xml:space="preserve">VARGAS ANA MARIA </v>
      </c>
      <c r="D18">
        <v>71</v>
      </c>
      <c r="E18" t="str">
        <v>STOPELLO</v>
      </c>
      <c r="F18" t="str">
        <v>ARTR ROD DER</v>
      </c>
      <c r="G18" t="str">
        <v xml:space="preserve">PTR ANATOMICA </v>
      </c>
      <c r="H18" t="str">
        <v>VILLALBA</v>
      </c>
      <c r="I18" t="str">
        <v>ACEPTADO</v>
      </c>
      <c r="J18" t="str">
        <v>PARANÁ</v>
      </c>
      <c r="K18" t="str">
        <v>PAMI</v>
      </c>
      <c r="L18">
        <v>0</v>
      </c>
    </row>
    <row r="19" spans="2:12" x14ac:dyDescent="0.25">
      <c r="B19">
        <v>44995</v>
      </c>
      <c r="C19" t="str">
        <v xml:space="preserve">NIEVAS CARLOS </v>
      </c>
      <c r="D19">
        <v>0</v>
      </c>
      <c r="E19" t="str">
        <v>GARCIA VITOR</v>
      </c>
      <c r="F19" t="str">
        <v>L.T.ROTULIANO</v>
      </c>
      <c r="G19" t="str">
        <v>TORNILLOS /A.KNOTLESS</v>
      </c>
      <c r="H19">
        <v>0</v>
      </c>
      <c r="I19" t="str">
        <v>ACEPTADO</v>
      </c>
      <c r="J19" t="str">
        <v>NOGOYA</v>
      </c>
      <c r="K19" t="str">
        <v>S/M</v>
      </c>
      <c r="L19">
        <v>3435617122</v>
      </c>
    </row>
    <row r="20" spans="2:12" x14ac:dyDescent="0.25">
      <c r="B20">
        <v>44995</v>
      </c>
      <c r="C20" t="str">
        <v xml:space="preserve">PRADELA  FABIAN </v>
      </c>
      <c r="D20">
        <v>35</v>
      </c>
      <c r="E20" t="str">
        <v>GARCIA VITOR</v>
      </c>
      <c r="F20" t="str">
        <v>L.T.ROTULIANO</v>
      </c>
      <c r="G20" t="str">
        <v>TORNILLOS /A.KNOTLESS</v>
      </c>
      <c r="H20">
        <v>0</v>
      </c>
      <c r="I20" t="str">
        <v>ACEPTADO</v>
      </c>
      <c r="J20" t="str">
        <v>PARANÁ</v>
      </c>
      <c r="K20" t="str">
        <v>S/M</v>
      </c>
      <c r="L20">
        <v>3434259271</v>
      </c>
    </row>
    <row r="21" spans="2:12" x14ac:dyDescent="0.25">
      <c r="B21">
        <v>44995</v>
      </c>
      <c r="C21" t="str">
        <v>ANDERI ROCIO BELEN</v>
      </c>
      <c r="D21">
        <v>35</v>
      </c>
      <c r="E21" t="str">
        <v>GARCIA VITOR</v>
      </c>
      <c r="F21" t="str">
        <v>GONARTROSIS</v>
      </c>
      <c r="G21" t="str">
        <v>PT DE ODILLA DER</v>
      </c>
      <c r="H21">
        <v>0</v>
      </c>
      <c r="I21" t="str">
        <v>INICIADO</v>
      </c>
      <c r="J21" t="str">
        <v xml:space="preserve">COLON </v>
      </c>
      <c r="K21" t="str">
        <v>S/M</v>
      </c>
      <c r="L21">
        <v>0</v>
      </c>
    </row>
    <row r="22" spans="2:12" x14ac:dyDescent="0.25">
      <c r="B22">
        <v>44999</v>
      </c>
      <c r="C22" t="str">
        <v xml:space="preserve">GIMENEZ MATIAS </v>
      </c>
      <c r="D22">
        <v>42</v>
      </c>
      <c r="E22" t="str">
        <v>MERLINI</v>
      </c>
      <c r="F22" t="str">
        <v>FX MUÑECA</v>
      </c>
      <c r="G22" t="str">
        <v>PLACA DOBLE</v>
      </c>
      <c r="H22">
        <v>0</v>
      </c>
      <c r="I22" t="str">
        <v xml:space="preserve">INICIADO </v>
      </c>
      <c r="J22" t="str">
        <v>PARANÁ</v>
      </c>
      <c r="K22" t="str">
        <v>S/M</v>
      </c>
      <c r="L22">
        <v>0</v>
      </c>
    </row>
    <row r="23" spans="2:12" x14ac:dyDescent="0.25">
      <c r="B23">
        <v>44999</v>
      </c>
      <c r="C23" t="str">
        <v xml:space="preserve">AIMONE ANTONELA </v>
      </c>
      <c r="D23">
        <v>31</v>
      </c>
      <c r="E23" t="str">
        <v>MERLINI</v>
      </c>
      <c r="F23" t="str">
        <v>FX CODO</v>
      </c>
      <c r="G23" t="str">
        <v xml:space="preserve">P. ANAT. ARP. </v>
      </c>
      <c r="H23">
        <v>0</v>
      </c>
      <c r="I23" t="str">
        <v>INICIADO</v>
      </c>
      <c r="J23" t="str">
        <v>PARANÁ</v>
      </c>
      <c r="K23" t="str">
        <v>S/M</v>
      </c>
      <c r="L23">
        <v>3436638740</v>
      </c>
    </row>
    <row r="24" spans="2:12" x14ac:dyDescent="0.25">
      <c r="B24">
        <v>44999</v>
      </c>
      <c r="C24" t="str">
        <v xml:space="preserve">TERSICH ERMELINDA </v>
      </c>
      <c r="D24">
        <v>92</v>
      </c>
      <c r="E24" t="str">
        <v>MERLINI</v>
      </c>
      <c r="F24" t="str">
        <v xml:space="preserve">FX CADERA IZQ </v>
      </c>
      <c r="G24" t="str">
        <v>CLAVO GAMMA</v>
      </c>
      <c r="H24" t="str">
        <v>VILLALBA</v>
      </c>
      <c r="I24" t="str">
        <v>OPERADO</v>
      </c>
      <c r="J24" t="str">
        <v>PARANÁ</v>
      </c>
      <c r="K24" t="str">
        <v>PAMI</v>
      </c>
      <c r="L24">
        <v>0</v>
      </c>
    </row>
    <row r="25" spans="2:12" x14ac:dyDescent="0.25">
      <c r="B25">
        <v>45001</v>
      </c>
      <c r="C25" t="str">
        <v xml:space="preserve">FIORE MERCEDES </v>
      </c>
      <c r="D25">
        <v>76</v>
      </c>
      <c r="E25" t="str">
        <v>STOPELLO</v>
      </c>
      <c r="F25" t="str">
        <v>ARTR ROD DER</v>
      </c>
      <c r="G25" t="str">
        <v xml:space="preserve">PTR ANATOMICA </v>
      </c>
      <c r="H25" t="str">
        <v>VILLALBA</v>
      </c>
      <c r="I25" t="str">
        <v>ACEPTADO</v>
      </c>
      <c r="J25" t="str">
        <v>PARANÁ</v>
      </c>
      <c r="K25" t="str">
        <v>PAMI</v>
      </c>
      <c r="L25">
        <v>0</v>
      </c>
    </row>
    <row r="26" spans="2:12" x14ac:dyDescent="0.25">
      <c r="B26">
        <v>45001</v>
      </c>
      <c r="C26" t="str">
        <v>NUÑEZ OSCAR</v>
      </c>
      <c r="D26">
        <v>45</v>
      </c>
      <c r="E26" t="str">
        <v>GARCIA VITOR</v>
      </c>
      <c r="F26" t="str">
        <v xml:space="preserve">OSTEOARTRITIS </v>
      </c>
      <c r="G26" t="str">
        <v>PTC NO CEMENT</v>
      </c>
      <c r="H26">
        <v>0</v>
      </c>
      <c r="I26" t="str">
        <v>INICIADO</v>
      </c>
      <c r="J26" t="str">
        <v>PARANÁ</v>
      </c>
      <c r="K26" t="str">
        <v>S/M</v>
      </c>
      <c r="L26">
        <v>0</v>
      </c>
    </row>
    <row r="27" spans="2:12" x14ac:dyDescent="0.25">
      <c r="B27">
        <v>45002</v>
      </c>
      <c r="C27" t="str">
        <v>SUAREZ M. ELENA</v>
      </c>
      <c r="D27">
        <v>59</v>
      </c>
      <c r="E27" t="str">
        <v>STOPELLO</v>
      </c>
      <c r="F27" t="str">
        <v>ARTR ROD DER</v>
      </c>
      <c r="G27" t="str">
        <v xml:space="preserve">PTR PRIMARIA </v>
      </c>
      <c r="H27" t="str">
        <v xml:space="preserve">IP MAGNA </v>
      </c>
      <c r="I27" t="str">
        <v>ACEPTADO</v>
      </c>
      <c r="J27" t="str">
        <v>PARANÁ</v>
      </c>
      <c r="K27" t="str">
        <v>S/M</v>
      </c>
      <c r="L27">
        <v>0</v>
      </c>
    </row>
    <row r="28" spans="2:12" x14ac:dyDescent="0.25">
      <c r="B28">
        <v>45002</v>
      </c>
      <c r="C28" t="str">
        <v xml:space="preserve">MERCADO LUISA ESTER </v>
      </c>
      <c r="D28">
        <v>59</v>
      </c>
      <c r="E28" t="str">
        <v>STOPELLO</v>
      </c>
      <c r="F28" t="str">
        <v>ARTR ROD DER</v>
      </c>
      <c r="G28" t="str">
        <v xml:space="preserve">PTR PRIMARIA </v>
      </c>
      <c r="H28" t="str">
        <v xml:space="preserve">IP MAGNA </v>
      </c>
      <c r="I28" t="str">
        <v>ACEPTADO</v>
      </c>
      <c r="J28" t="str">
        <v>PARANÁ</v>
      </c>
      <c r="K28" t="str">
        <v>PAMI</v>
      </c>
      <c r="L28">
        <v>0</v>
      </c>
    </row>
    <row r="29" spans="2:12" x14ac:dyDescent="0.25">
      <c r="B29">
        <v>45002</v>
      </c>
      <c r="C29" t="str">
        <v xml:space="preserve">ABASTO GRACIELA </v>
      </c>
      <c r="D29">
        <v>69</v>
      </c>
      <c r="E29" t="str">
        <v>GARCIA VITOR</v>
      </c>
      <c r="F29" t="str">
        <v>ARTR ROD IZQ</v>
      </c>
      <c r="G29" t="str">
        <v xml:space="preserve">PTR ANATOMICA </v>
      </c>
      <c r="H29" t="str">
        <v xml:space="preserve">IP MAGNA </v>
      </c>
      <c r="I29" t="str">
        <v>ACEPTADO</v>
      </c>
      <c r="J29" t="str">
        <v>PARANÁ</v>
      </c>
      <c r="K29" t="str">
        <v>PAMI</v>
      </c>
      <c r="L29">
        <v>0</v>
      </c>
    </row>
    <row r="30" spans="2:12" x14ac:dyDescent="0.25">
      <c r="B30">
        <v>45002</v>
      </c>
      <c r="C30" t="str">
        <v>CARDOSO NILDA</v>
      </c>
      <c r="D30">
        <v>75</v>
      </c>
      <c r="E30" t="str">
        <v>MERLINI</v>
      </c>
      <c r="F30" t="str">
        <v>FX CADERA DER</v>
      </c>
      <c r="G30" t="str">
        <v>CLAVO DHS</v>
      </c>
      <c r="H30" t="str">
        <v>VILLALBA</v>
      </c>
      <c r="I30" t="str">
        <v>ACEPTADO</v>
      </c>
      <c r="J30" t="str">
        <v>PARANÁ</v>
      </c>
      <c r="K30" t="str">
        <v>PAMI</v>
      </c>
      <c r="L30">
        <v>0</v>
      </c>
    </row>
    <row r="31" spans="2:12" x14ac:dyDescent="0.25">
      <c r="B31">
        <v>45002</v>
      </c>
      <c r="C31" t="str">
        <v xml:space="preserve">ROMERO JUANA </v>
      </c>
      <c r="D31">
        <v>68</v>
      </c>
      <c r="E31" t="str">
        <v>STOPELLO</v>
      </c>
      <c r="F31" t="str">
        <v>ARTR ROD DER</v>
      </c>
      <c r="G31" t="str">
        <v xml:space="preserve">PTR ANATOMICA </v>
      </c>
      <c r="H31" t="str">
        <v xml:space="preserve">IP MAGNA </v>
      </c>
      <c r="I31" t="str">
        <v>ACEPTADO</v>
      </c>
      <c r="J31" t="str">
        <v>PARANÁ</v>
      </c>
      <c r="K31" t="str">
        <v>PAMI</v>
      </c>
      <c r="L31">
        <v>0</v>
      </c>
    </row>
    <row r="32" spans="2:12" x14ac:dyDescent="0.25">
      <c r="B32">
        <v>45002</v>
      </c>
      <c r="C32" t="str">
        <v xml:space="preserve">CACERES MABEL </v>
      </c>
      <c r="D32">
        <v>73</v>
      </c>
      <c r="E32" t="str">
        <v>STOPELLO</v>
      </c>
      <c r="F32" t="str">
        <v>GENU VARO</v>
      </c>
      <c r="G32" t="str">
        <v xml:space="preserve">PTR  DE REVISION   DER </v>
      </c>
      <c r="H32" t="str">
        <v>VILLALBA</v>
      </c>
      <c r="I32" t="str">
        <v>ACEPTADO</v>
      </c>
      <c r="J32" t="str">
        <v>PARANÁ</v>
      </c>
      <c r="K32" t="str">
        <v>PAMI</v>
      </c>
      <c r="L32">
        <v>0</v>
      </c>
    </row>
    <row r="33" spans="2:12" x14ac:dyDescent="0.25">
      <c r="B33">
        <v>45003</v>
      </c>
      <c r="C33" t="str">
        <v xml:space="preserve">PELLEGRINI DOMINGA </v>
      </c>
      <c r="D33">
        <v>73</v>
      </c>
      <c r="E33" t="str">
        <v>MERLINI</v>
      </c>
      <c r="F33" t="str">
        <v xml:space="preserve">FX TIBIA Y PERONE </v>
      </c>
      <c r="G33" t="str">
        <v>PLACA TERCI TUBO</v>
      </c>
      <c r="H33" t="str">
        <v>VILLALBA</v>
      </c>
      <c r="I33" t="str">
        <v>ACEPTADO</v>
      </c>
      <c r="J33" t="str">
        <v>PARANÁ</v>
      </c>
      <c r="K33" t="str">
        <v>PAMI</v>
      </c>
      <c r="L33" t="str">
        <v>THOMPSOM</v>
      </c>
    </row>
    <row r="34" spans="2:12" x14ac:dyDescent="0.25">
      <c r="B34">
        <v>45005</v>
      </c>
      <c r="C34" t="str">
        <v xml:space="preserve">YACUMINI JORGE </v>
      </c>
      <c r="D34">
        <v>42</v>
      </c>
      <c r="E34" t="str">
        <v>MERLINI</v>
      </c>
      <c r="F34" t="str">
        <v>FX ANTE BRAZO</v>
      </c>
      <c r="G34" t="str">
        <v>PLACA DCP BLOQ.</v>
      </c>
      <c r="H34">
        <v>0</v>
      </c>
      <c r="I34" t="str">
        <v>INICIADO</v>
      </c>
      <c r="J34" t="str">
        <v>PARANÁ</v>
      </c>
      <c r="K34" t="str">
        <v>S/M</v>
      </c>
      <c r="L34">
        <v>0</v>
      </c>
    </row>
    <row r="35" spans="2:12" x14ac:dyDescent="0.25">
      <c r="B35">
        <v>45005</v>
      </c>
      <c r="C35" t="str">
        <v>TREPPAN RENZO</v>
      </c>
      <c r="D35">
        <v>19</v>
      </c>
      <c r="E35" t="str">
        <v>MERLINI</v>
      </c>
      <c r="F35" t="str">
        <v>FX CLAVICULA</v>
      </c>
      <c r="G35" t="str">
        <v>PLACA ANT. BLOQ.</v>
      </c>
      <c r="H35">
        <v>0</v>
      </c>
      <c r="I35" t="str">
        <v>ACEPTADO</v>
      </c>
      <c r="J35" t="str">
        <v>PARANÁ</v>
      </c>
      <c r="K35" t="str">
        <v>S/M</v>
      </c>
      <c r="L35">
        <v>0</v>
      </c>
    </row>
    <row r="36" spans="2:12" x14ac:dyDescent="0.25">
      <c r="B36">
        <v>45006</v>
      </c>
      <c r="C36" t="str">
        <v>ALMADA  MARIA</v>
      </c>
      <c r="D36">
        <v>54</v>
      </c>
      <c r="E36" t="str">
        <v>MERLINI</v>
      </c>
      <c r="F36" t="str">
        <v xml:space="preserve">FX CADERA </v>
      </c>
      <c r="G36" t="str">
        <v>CLAVO GAMMA</v>
      </c>
      <c r="H36">
        <v>0</v>
      </c>
      <c r="I36" t="str">
        <v>INICIADO</v>
      </c>
      <c r="J36" t="str">
        <v>PARANÁ</v>
      </c>
      <c r="K36" t="str">
        <v>S/M</v>
      </c>
      <c r="L36">
        <v>0</v>
      </c>
    </row>
    <row r="37" spans="2:12" x14ac:dyDescent="0.25">
      <c r="B37">
        <v>45007</v>
      </c>
      <c r="C37" t="str">
        <v xml:space="preserve">GORO MARIA </v>
      </c>
      <c r="D37">
        <v>78</v>
      </c>
      <c r="E37" t="str">
        <v>MERLINI</v>
      </c>
      <c r="F37" t="str">
        <v>FX HUMERO</v>
      </c>
      <c r="G37" t="str">
        <v xml:space="preserve">CLAVO ENDOM </v>
      </c>
      <c r="H37" t="str">
        <v>VILLALBA</v>
      </c>
      <c r="I37" t="str">
        <v>ACEPTADO</v>
      </c>
      <c r="J37" t="str">
        <v>PARANÁ</v>
      </c>
      <c r="K37" t="str">
        <v>PAMI</v>
      </c>
      <c r="L37">
        <v>0</v>
      </c>
    </row>
    <row r="38" spans="2:12" x14ac:dyDescent="0.25">
      <c r="B38">
        <v>45007</v>
      </c>
      <c r="C38" t="str">
        <v xml:space="preserve">RAU  JOAQUIN </v>
      </c>
      <c r="D38">
        <v>19</v>
      </c>
      <c r="E38" t="str">
        <v>THOMPSOM</v>
      </c>
      <c r="F38" t="str">
        <v>FX MUÑECA</v>
      </c>
      <c r="G38" t="str">
        <v>PLACA VOLAR</v>
      </c>
      <c r="H38">
        <v>0</v>
      </c>
      <c r="I38" t="str">
        <v>ACEPTADO</v>
      </c>
      <c r="J38" t="str">
        <v>PARANÁ</v>
      </c>
      <c r="K38" t="str">
        <v>S/M</v>
      </c>
      <c r="L38">
        <v>0</v>
      </c>
    </row>
    <row r="39" spans="2:12" x14ac:dyDescent="0.25">
      <c r="B39">
        <v>45008</v>
      </c>
      <c r="C39" t="str">
        <v xml:space="preserve">VALTER LEONOR </v>
      </c>
      <c r="D39">
        <v>76</v>
      </c>
      <c r="E39" t="str">
        <v>MERLINI</v>
      </c>
      <c r="F39" t="str">
        <v>FX HUMERO</v>
      </c>
      <c r="G39" t="str">
        <v xml:space="preserve">PLACAS RECONTRUCCION </v>
      </c>
      <c r="H39" t="str">
        <v>VILLALBA</v>
      </c>
      <c r="I39" t="str">
        <v>ACEPTADO</v>
      </c>
      <c r="J39" t="str">
        <v>PARANÁ</v>
      </c>
      <c r="K39" t="str">
        <v>PAMI</v>
      </c>
      <c r="L39">
        <v>0</v>
      </c>
    </row>
    <row r="40" spans="2:12" x14ac:dyDescent="0.25">
      <c r="B40">
        <v>45012</v>
      </c>
      <c r="C40" t="str">
        <v xml:space="preserve">MOLINA HECTOR </v>
      </c>
      <c r="D40">
        <v>49</v>
      </c>
      <c r="E40" t="str">
        <v>CATRIEL GODOY</v>
      </c>
      <c r="F40" t="str">
        <v>FX RODILLA</v>
      </c>
      <c r="G40" t="str">
        <v xml:space="preserve">PTR ANATOMICA </v>
      </c>
      <c r="H40">
        <v>0</v>
      </c>
      <c r="I40" t="str">
        <v>INICIADO</v>
      </c>
      <c r="J40" t="str">
        <v>PARANÁ</v>
      </c>
      <c r="K40" t="str">
        <v>S/M</v>
      </c>
      <c r="L40">
        <v>3435316130</v>
      </c>
    </row>
    <row r="41" spans="2:12" x14ac:dyDescent="0.25">
      <c r="B41">
        <v>45012</v>
      </c>
      <c r="C41" t="str">
        <v xml:space="preserve">RAMIREZ RAMON </v>
      </c>
      <c r="D41">
        <v>55</v>
      </c>
      <c r="E41" t="str">
        <v>CATRIEL GODOY</v>
      </c>
      <c r="F41" t="str">
        <v>GONARTROSIS</v>
      </c>
      <c r="G41" t="str">
        <v xml:space="preserve">PTR ANATOMICA </v>
      </c>
      <c r="H41">
        <v>0</v>
      </c>
      <c r="I41" t="str">
        <v>INICIADO</v>
      </c>
      <c r="J41" t="str">
        <v>PARANÁ</v>
      </c>
      <c r="K41" t="str">
        <v>S/M</v>
      </c>
      <c r="L41">
        <v>155005349</v>
      </c>
    </row>
    <row r="42" spans="2:12" x14ac:dyDescent="0.25">
      <c r="B42">
        <v>45012</v>
      </c>
      <c r="C42" t="str">
        <v xml:space="preserve">WEINER M. JOSEFA </v>
      </c>
      <c r="D42">
        <v>61</v>
      </c>
      <c r="E42" t="str">
        <v>MERLINI</v>
      </c>
      <c r="F42" t="str">
        <v>FX MUÑECA</v>
      </c>
      <c r="G42" t="str">
        <v>PLACA VOLAR</v>
      </c>
      <c r="H42" t="str">
        <v>VILLALBA</v>
      </c>
      <c r="I42" t="str">
        <v>ACEPTADO</v>
      </c>
      <c r="J42" t="str">
        <v>PARANÁ</v>
      </c>
      <c r="K42" t="str">
        <v>PAMI</v>
      </c>
      <c r="L42">
        <v>0</v>
      </c>
    </row>
    <row r="43" spans="2:12" x14ac:dyDescent="0.25">
      <c r="B43">
        <v>45012</v>
      </c>
      <c r="C43" t="str">
        <v xml:space="preserve">VENTOSINOS RODOLFO </v>
      </c>
      <c r="D43">
        <v>76</v>
      </c>
      <c r="E43" t="str">
        <v>GARCIA VITOR</v>
      </c>
      <c r="F43" t="str">
        <v>COXARTROSIS</v>
      </c>
      <c r="G43" t="str">
        <v>PTC CEMENTADA / COTILO</v>
      </c>
      <c r="H43" t="str">
        <v>VILLALBA</v>
      </c>
      <c r="I43" t="str">
        <v>ACEPTADO</v>
      </c>
      <c r="J43" t="str">
        <v>PARANÁ</v>
      </c>
      <c r="K43" t="str">
        <v>PAMI</v>
      </c>
      <c r="L43">
        <v>0</v>
      </c>
    </row>
    <row r="44" spans="2:12" x14ac:dyDescent="0.25">
      <c r="B44">
        <v>45014</v>
      </c>
      <c r="C44" t="str">
        <v xml:space="preserve">ROSELLO PATRICIA </v>
      </c>
      <c r="D44">
        <v>58</v>
      </c>
      <c r="E44" t="str">
        <v>MERLINI</v>
      </c>
      <c r="F44" t="str">
        <v>FX MUÑECA</v>
      </c>
      <c r="G44" t="str">
        <v xml:space="preserve">PLACA DOBLE </v>
      </c>
      <c r="H44">
        <v>0</v>
      </c>
      <c r="I44" t="str">
        <v>INICIADO</v>
      </c>
      <c r="J44" t="str">
        <v>PARANÁ</v>
      </c>
      <c r="K44" t="str">
        <v>S/M</v>
      </c>
      <c r="L44">
        <v>3425296802</v>
      </c>
    </row>
    <row r="45" spans="2:12" x14ac:dyDescent="0.25">
      <c r="B45">
        <v>45014</v>
      </c>
      <c r="C45" t="str">
        <v xml:space="preserve">ACOSTA SALMA DYLAN </v>
      </c>
      <c r="D45">
        <v>15</v>
      </c>
      <c r="E45" t="str">
        <v>MERLINI</v>
      </c>
      <c r="F45" t="str">
        <v>FX TOBILLO IZQ</v>
      </c>
      <c r="G45" t="str">
        <v>PLACA TERCI TUBO</v>
      </c>
      <c r="H45">
        <v>0</v>
      </c>
      <c r="I45" t="str">
        <v>ACEPTADO</v>
      </c>
      <c r="J45" t="str">
        <v>PARANÁ</v>
      </c>
      <c r="K45" t="str">
        <v>S/M</v>
      </c>
      <c r="L45">
        <v>0</v>
      </c>
    </row>
    <row r="46" spans="2:12" x14ac:dyDescent="0.25">
      <c r="B46">
        <v>45014</v>
      </c>
      <c r="C46" t="str">
        <v xml:space="preserve">LARROSA DANIEL </v>
      </c>
      <c r="D46">
        <v>38</v>
      </c>
      <c r="E46" t="str">
        <v>MERLINI</v>
      </c>
      <c r="F46" t="str">
        <v>FX ANTE BRAZO</v>
      </c>
      <c r="G46" t="str">
        <v xml:space="preserve">PLACA DOBLE </v>
      </c>
      <c r="H46">
        <v>0</v>
      </c>
      <c r="I46" t="str">
        <v>OPERADO</v>
      </c>
      <c r="J46" t="str">
        <v>PARANÁ</v>
      </c>
      <c r="K46" t="str">
        <v>S/M</v>
      </c>
      <c r="L46">
        <v>0</v>
      </c>
    </row>
    <row r="47" spans="2:12" x14ac:dyDescent="0.25">
      <c r="B47">
        <v>45014</v>
      </c>
      <c r="C47" t="str">
        <v>SANCHEZ DIEGO</v>
      </c>
      <c r="D47">
        <v>22</v>
      </c>
      <c r="E47" t="str">
        <v>VENTURI</v>
      </c>
      <c r="F47" t="str">
        <v>LCA</v>
      </c>
      <c r="G47" t="str">
        <v xml:space="preserve">BOTON/TORNILLOS </v>
      </c>
      <c r="H47">
        <v>0</v>
      </c>
      <c r="I47" t="str">
        <v>ACEPTADO</v>
      </c>
      <c r="J47" t="str">
        <v>PARANÁ</v>
      </c>
      <c r="K47" t="str">
        <v>S/M</v>
      </c>
      <c r="L47">
        <v>3435368043</v>
      </c>
    </row>
    <row r="48" spans="2:12" x14ac:dyDescent="0.25">
      <c r="B48">
        <v>45015</v>
      </c>
      <c r="C48" t="str">
        <v xml:space="preserve">GONZALEZ J. DANIEL </v>
      </c>
      <c r="D48">
        <v>67</v>
      </c>
      <c r="E48" t="str">
        <v>GARCIA VITOR</v>
      </c>
      <c r="F48" t="str">
        <v>AFLOJ. PROTESICO</v>
      </c>
      <c r="G48" t="str">
        <v xml:space="preserve">RTR DE REVISION </v>
      </c>
      <c r="H48" t="str">
        <v xml:space="preserve">IP MAGNA </v>
      </c>
      <c r="I48" t="str">
        <v>ACEPTADO</v>
      </c>
      <c r="J48" t="str">
        <v>PARANÁ</v>
      </c>
      <c r="K48" t="str">
        <v>PAMI</v>
      </c>
      <c r="L48">
        <v>0</v>
      </c>
    </row>
    <row r="49" spans="2:12" x14ac:dyDescent="0.25">
      <c r="B49">
        <v>45015</v>
      </c>
      <c r="C49" t="str">
        <v>COMAR CLARA</v>
      </c>
      <c r="D49">
        <v>75</v>
      </c>
      <c r="E49" t="str">
        <v>YACOMO</v>
      </c>
      <c r="F49" t="str">
        <v>GONARTROSIS</v>
      </c>
      <c r="G49" t="str">
        <v xml:space="preserve">PTR ANATOMICA </v>
      </c>
      <c r="H49" t="str">
        <v>VILLALBA</v>
      </c>
      <c r="I49" t="str">
        <v>ACEPTADO</v>
      </c>
      <c r="J49" t="str">
        <v>PARANÁ</v>
      </c>
      <c r="K49" t="str">
        <v>PAMI</v>
      </c>
      <c r="L49">
        <v>5289542</v>
      </c>
    </row>
    <row r="50" spans="2:12" x14ac:dyDescent="0.25">
      <c r="B50">
        <v>45015</v>
      </c>
      <c r="C50" t="str">
        <v xml:space="preserve">CENTURION LUIS </v>
      </c>
      <c r="D50">
        <v>51</v>
      </c>
      <c r="E50" t="str">
        <v>YACOMO</v>
      </c>
      <c r="F50" t="str">
        <v>GENU VARO</v>
      </c>
      <c r="G50" t="str">
        <v xml:space="preserve">BOTON/TORNILLOS </v>
      </c>
      <c r="H50">
        <v>0</v>
      </c>
      <c r="I50" t="str">
        <v>ACEPTADO</v>
      </c>
      <c r="J50" t="str">
        <v>PARANÁ</v>
      </c>
      <c r="K50" t="str">
        <v>S/M</v>
      </c>
      <c r="L50">
        <v>3434624471</v>
      </c>
    </row>
    <row r="51" spans="2:12" x14ac:dyDescent="0.25">
      <c r="B51">
        <v>45015</v>
      </c>
      <c r="C51" t="str">
        <v xml:space="preserve">HOLLMAN  HILARIO </v>
      </c>
      <c r="D51">
        <v>71</v>
      </c>
      <c r="E51" t="str">
        <v>STOPELLO</v>
      </c>
      <c r="F51" t="str">
        <v>COXARTROSIS</v>
      </c>
      <c r="G51" t="str">
        <v xml:space="preserve">RTC CEMENTADA </v>
      </c>
      <c r="H51" t="str">
        <v>VILLALBA</v>
      </c>
      <c r="I51" t="str">
        <v>ACEPTADO</v>
      </c>
      <c r="J51" t="str">
        <v>PARANÁ</v>
      </c>
      <c r="K51" t="str">
        <v>PAMI</v>
      </c>
      <c r="L51">
        <v>0</v>
      </c>
    </row>
    <row r="52" spans="2:12" x14ac:dyDescent="0.25">
      <c r="B52">
        <v>45016</v>
      </c>
      <c r="C52" t="str">
        <v xml:space="preserve">CASCO  RAMONA </v>
      </c>
      <c r="D52">
        <v>66</v>
      </c>
      <c r="E52" t="str">
        <v>MERLINI</v>
      </c>
      <c r="F52" t="str">
        <v>FX CADERA</v>
      </c>
      <c r="G52" t="str">
        <v xml:space="preserve">CLACO GAMMA </v>
      </c>
      <c r="H52" t="str">
        <v>VILLALBA</v>
      </c>
      <c r="I52" t="str">
        <v>ACEPTADO</v>
      </c>
      <c r="J52" t="str">
        <v>PARANÁ</v>
      </c>
      <c r="K52" t="str">
        <v>PAMI</v>
      </c>
      <c r="L52">
        <v>0</v>
      </c>
    </row>
    <row r="53" spans="2:12" x14ac:dyDescent="0.25">
      <c r="B53">
        <v>45019</v>
      </c>
      <c r="C53" t="str">
        <v xml:space="preserve">GOMEZ  ELODIA </v>
      </c>
      <c r="D53">
        <v>66</v>
      </c>
      <c r="E53" t="str">
        <v>GARCIA VITOR</v>
      </c>
      <c r="F53" t="str">
        <v>GONARTROSIS</v>
      </c>
      <c r="G53" t="str">
        <v xml:space="preserve">RTR ANATOMICA </v>
      </c>
      <c r="H53" t="str">
        <v xml:space="preserve">IP MAGNA </v>
      </c>
      <c r="I53" t="str">
        <v>ACEPTADO</v>
      </c>
      <c r="J53" t="str">
        <v>PARANÁ</v>
      </c>
      <c r="K53" t="str">
        <v>PAMI</v>
      </c>
      <c r="L53">
        <v>3435038414</v>
      </c>
    </row>
    <row r="54" spans="2:12" x14ac:dyDescent="0.25">
      <c r="B54">
        <v>45020</v>
      </c>
      <c r="C54" t="str">
        <v xml:space="preserve">CASTILLO MARGAITA </v>
      </c>
      <c r="D54">
        <v>72</v>
      </c>
      <c r="E54" t="str">
        <v>MERLINI</v>
      </c>
      <c r="F54" t="str">
        <v>FX HUMERO</v>
      </c>
      <c r="G54" t="str">
        <v>PLACA PHILOS</v>
      </c>
      <c r="H54" t="str">
        <v>VILLALBA</v>
      </c>
      <c r="I54" t="str">
        <v>ACEPTADO</v>
      </c>
      <c r="J54" t="str">
        <v>PARANÁ</v>
      </c>
      <c r="K54" t="str">
        <v>PAMI</v>
      </c>
      <c r="L54">
        <v>0</v>
      </c>
    </row>
    <row r="55" spans="2:12" x14ac:dyDescent="0.25">
      <c r="B55">
        <v>45020</v>
      </c>
      <c r="C55" t="str">
        <v xml:space="preserve">BECCHIO ELSA </v>
      </c>
      <c r="D55">
        <v>82</v>
      </c>
      <c r="E55" t="str">
        <v>MERLINI</v>
      </c>
      <c r="F55" t="str">
        <v>FX CADERA</v>
      </c>
      <c r="G55" t="str">
        <v>CLAVO GAMMA</v>
      </c>
      <c r="H55" t="str">
        <v>VILLALBA</v>
      </c>
      <c r="I55" t="str">
        <v>ACEPTADO</v>
      </c>
      <c r="J55" t="str">
        <v>PARANÁ</v>
      </c>
      <c r="K55" t="str">
        <v>PAMI</v>
      </c>
      <c r="L55">
        <v>0</v>
      </c>
    </row>
    <row r="56" spans="2:12" x14ac:dyDescent="0.25">
      <c r="B56">
        <v>45020</v>
      </c>
      <c r="C56" t="str">
        <v xml:space="preserve">DEGREGORIO STEFANO </v>
      </c>
      <c r="D56">
        <v>33</v>
      </c>
      <c r="E56" t="str">
        <v>MERLINI</v>
      </c>
      <c r="F56" t="str">
        <v>FX CLAVICULA</v>
      </c>
      <c r="G56" t="str">
        <v>PLACA ANAT</v>
      </c>
      <c r="H56">
        <v>0</v>
      </c>
      <c r="I56" t="str">
        <v>INICIADO</v>
      </c>
      <c r="J56" t="str">
        <v>PARANÁ</v>
      </c>
      <c r="K56" t="str">
        <v>S/M</v>
      </c>
      <c r="L56">
        <v>3435164853</v>
      </c>
    </row>
    <row r="57" spans="2:12" x14ac:dyDescent="0.25">
      <c r="B57">
        <v>45024</v>
      </c>
      <c r="C57" t="str">
        <v>AGUIRRES JOAQUIN</v>
      </c>
      <c r="D57">
        <v>23</v>
      </c>
      <c r="E57">
        <v>0</v>
      </c>
      <c r="F57" t="str">
        <v>FX FEMUR</v>
      </c>
      <c r="G57" t="str">
        <v>CLAVO RETROGRADO</v>
      </c>
      <c r="H57">
        <v>0</v>
      </c>
      <c r="I57" t="str">
        <v>ACEPTADO</v>
      </c>
      <c r="J57">
        <v>0</v>
      </c>
      <c r="K57" t="str">
        <v>S/M</v>
      </c>
      <c r="L57">
        <v>0</v>
      </c>
    </row>
    <row r="58" spans="2:12" x14ac:dyDescent="0.25">
      <c r="B58">
        <v>45026</v>
      </c>
      <c r="C58" t="str">
        <v xml:space="preserve">LAIMER ZELAYA GROVER </v>
      </c>
      <c r="D58">
        <v>30</v>
      </c>
      <c r="E58" t="str">
        <v>MERLINI</v>
      </c>
      <c r="F58" t="str">
        <v>FX MUÑECA</v>
      </c>
      <c r="G58" t="str">
        <v xml:space="preserve">PLACA DOBLE H. DISTAL </v>
      </c>
      <c r="H58">
        <v>0</v>
      </c>
      <c r="I58" t="str">
        <v>ACEPTADO</v>
      </c>
      <c r="J58" t="str">
        <v>PARANÁ</v>
      </c>
      <c r="K58" t="str">
        <v>PAMI</v>
      </c>
      <c r="L58">
        <v>0</v>
      </c>
    </row>
    <row r="59" spans="2:12" x14ac:dyDescent="0.25">
      <c r="B59">
        <v>45026</v>
      </c>
      <c r="C59" t="str">
        <v>RODRIGUEZ LEONARDO</v>
      </c>
      <c r="D59">
        <v>29</v>
      </c>
      <c r="E59" t="str">
        <v>MERLINI</v>
      </c>
      <c r="F59" t="str">
        <v>FX ESCAFOEDES</v>
      </c>
      <c r="G59" t="str">
        <v>TORN. HERBERT</v>
      </c>
      <c r="H59">
        <v>0</v>
      </c>
      <c r="I59" t="str">
        <v xml:space="preserve">INICIADO </v>
      </c>
      <c r="J59" t="str">
        <v>PARANÁ</v>
      </c>
      <c r="K59" t="str">
        <v>S/M</v>
      </c>
      <c r="L59">
        <v>155196398</v>
      </c>
    </row>
    <row r="60" spans="2:12" x14ac:dyDescent="0.25">
      <c r="B60">
        <v>45026</v>
      </c>
      <c r="C60" t="str">
        <v xml:space="preserve">DA SILVA MUIRIAM </v>
      </c>
      <c r="D60">
        <v>38</v>
      </c>
      <c r="E60" t="str">
        <v>MERLINI</v>
      </c>
      <c r="F60" t="str">
        <v>FX CODO DER</v>
      </c>
      <c r="G60" t="str">
        <v>PLACA LCP</v>
      </c>
      <c r="H60">
        <v>0</v>
      </c>
      <c r="I60" t="str">
        <v>INICIADO</v>
      </c>
      <c r="J60" t="str">
        <v>PARANÁ</v>
      </c>
      <c r="K60" t="str">
        <v>S/M</v>
      </c>
      <c r="L60">
        <v>0</v>
      </c>
    </row>
    <row r="61" spans="2:12" x14ac:dyDescent="0.25">
      <c r="B61">
        <v>45026</v>
      </c>
      <c r="C61" t="str">
        <v xml:space="preserve">RIPARI SANDRA </v>
      </c>
      <c r="D61">
        <v>53</v>
      </c>
      <c r="E61" t="str">
        <v>MERLINI</v>
      </c>
      <c r="F61" t="str">
        <v>FX MUÑECA</v>
      </c>
      <c r="G61" t="str">
        <v xml:space="preserve">PLACA DOBLE H. DISTAL </v>
      </c>
      <c r="H61">
        <v>0</v>
      </c>
      <c r="I61" t="str">
        <v>INICIADO</v>
      </c>
      <c r="J61" t="str">
        <v>PARANÁ</v>
      </c>
      <c r="K61" t="str">
        <v>S/M</v>
      </c>
      <c r="L61">
        <v>0</v>
      </c>
    </row>
    <row r="62" spans="2:12" x14ac:dyDescent="0.25">
      <c r="B62">
        <v>45026</v>
      </c>
      <c r="C62" t="str">
        <v xml:space="preserve">NARDUZZI SEBASIAN </v>
      </c>
      <c r="D62">
        <v>34</v>
      </c>
      <c r="E62" t="str">
        <v>MERLINI</v>
      </c>
      <c r="F62" t="str">
        <v xml:space="preserve">FX F1 MANO IZQ </v>
      </c>
      <c r="G62" t="str">
        <v xml:space="preserve">TOR- PARA FALANGES </v>
      </c>
      <c r="H62">
        <v>0</v>
      </c>
      <c r="I62" t="str">
        <v>ACEPTADO</v>
      </c>
      <c r="J62" t="str">
        <v>PARANÁ</v>
      </c>
      <c r="K62" t="str">
        <v>S/M</v>
      </c>
      <c r="L62">
        <v>0</v>
      </c>
    </row>
    <row r="63" spans="2:12" x14ac:dyDescent="0.25">
      <c r="B63">
        <v>45026</v>
      </c>
      <c r="C63" t="str">
        <v xml:space="preserve">WEIS MARIA ESTER </v>
      </c>
      <c r="D63">
        <v>76</v>
      </c>
      <c r="E63" t="str">
        <v>CATRIEL GODOY</v>
      </c>
      <c r="F63" t="str">
        <v>HALLUX VALGO</v>
      </c>
      <c r="G63" t="str">
        <v>PLACAS/TORNI</v>
      </c>
      <c r="H63" t="str">
        <v>VILLALBA</v>
      </c>
      <c r="I63" t="str">
        <v>ACEPTADO</v>
      </c>
      <c r="J63" t="str">
        <v xml:space="preserve">CERRITO </v>
      </c>
      <c r="K63" t="str">
        <v>PAMI</v>
      </c>
      <c r="L63">
        <v>0</v>
      </c>
    </row>
    <row r="64" spans="2:12" x14ac:dyDescent="0.25">
      <c r="B64">
        <v>45026</v>
      </c>
      <c r="C64" t="str">
        <v xml:space="preserve">ORTIZ ALICIA </v>
      </c>
      <c r="D64">
        <v>70</v>
      </c>
      <c r="E64" t="str">
        <v>MERLINI</v>
      </c>
      <c r="F64" t="str">
        <v>FX MUÑECA</v>
      </c>
      <c r="G64" t="str">
        <v xml:space="preserve">PLACA DOBLE H. DISTAL </v>
      </c>
      <c r="H64" t="str">
        <v>VILLALBA</v>
      </c>
      <c r="I64" t="str">
        <v>ACEPTADO</v>
      </c>
      <c r="J64" t="str">
        <v>PARANÁ</v>
      </c>
      <c r="K64" t="str">
        <v>PAMI</v>
      </c>
      <c r="L64">
        <v>0</v>
      </c>
    </row>
    <row r="65" spans="2:12" x14ac:dyDescent="0.25">
      <c r="B65">
        <v>45026</v>
      </c>
      <c r="C65" t="str">
        <v xml:space="preserve">GILES LUISA </v>
      </c>
      <c r="D65">
        <v>74</v>
      </c>
      <c r="E65" t="str">
        <v>MERLINI</v>
      </c>
      <c r="F65" t="str">
        <v>FX HUMERO</v>
      </c>
      <c r="G65" t="str">
        <v>PLACA PHILOS</v>
      </c>
      <c r="H65" t="str">
        <v>VILLALBA</v>
      </c>
      <c r="I65" t="str">
        <v>ACEPTADO</v>
      </c>
      <c r="J65" t="str">
        <v>PARANÁ</v>
      </c>
      <c r="K65" t="str">
        <v>PAMI</v>
      </c>
      <c r="L65">
        <v>0</v>
      </c>
    </row>
    <row r="66" spans="2:12" x14ac:dyDescent="0.25">
      <c r="B66">
        <v>45028</v>
      </c>
      <c r="C66" t="str">
        <v>SCHWAB  ELLY</v>
      </c>
      <c r="D66">
        <v>82</v>
      </c>
      <c r="E66" t="str">
        <v>STOPELLO</v>
      </c>
      <c r="F66" t="str">
        <v>FX HUMERO</v>
      </c>
      <c r="G66" t="str">
        <v>PLACA PHILOS</v>
      </c>
      <c r="H66" t="str">
        <v>VILLALB A</v>
      </c>
      <c r="I66" t="str">
        <v>ACEPTADO</v>
      </c>
      <c r="J66" t="str">
        <v>PARANÁ</v>
      </c>
      <c r="K66" t="str">
        <v>PAMI</v>
      </c>
      <c r="L66">
        <v>0</v>
      </c>
    </row>
    <row r="67" spans="2:12" x14ac:dyDescent="0.25">
      <c r="B67">
        <v>45028</v>
      </c>
      <c r="C67" t="str">
        <v xml:space="preserve">CAFFARENA ZUNILDA </v>
      </c>
      <c r="D67">
        <v>27</v>
      </c>
      <c r="E67" t="str">
        <v>SUKSDORF</v>
      </c>
      <c r="F67" t="str">
        <v xml:space="preserve">LCA </v>
      </c>
      <c r="G67" t="str">
        <v xml:space="preserve">TORN INTRF/BOTON </v>
      </c>
      <c r="H67">
        <v>0</v>
      </c>
      <c r="I67" t="str">
        <v>ACEPTADO</v>
      </c>
      <c r="J67" t="str">
        <v>TABOSSI</v>
      </c>
      <c r="K67" t="str">
        <v>S/M</v>
      </c>
      <c r="L67">
        <v>0</v>
      </c>
    </row>
    <row r="68" spans="2:12" x14ac:dyDescent="0.25">
      <c r="B68">
        <v>45029</v>
      </c>
      <c r="C68" t="str">
        <v xml:space="preserve">FIORI MERCEDES </v>
      </c>
      <c r="D68">
        <v>76</v>
      </c>
      <c r="E68" t="str">
        <v>STOPELLO</v>
      </c>
      <c r="F68" t="str">
        <v>GONARTROSIS</v>
      </c>
      <c r="G68" t="str">
        <v xml:space="preserve">RTR ANATOMICA </v>
      </c>
      <c r="H68" t="str">
        <v>VILLALVA</v>
      </c>
      <c r="I68" t="str">
        <v>ACEPTADO</v>
      </c>
      <c r="J68" t="str">
        <v>PARANÁ</v>
      </c>
      <c r="K68" t="str">
        <v>PAMI</v>
      </c>
      <c r="L68">
        <v>0</v>
      </c>
    </row>
    <row r="69" spans="2:12" x14ac:dyDescent="0.25">
      <c r="B69">
        <v>45030</v>
      </c>
      <c r="C69" t="str">
        <v xml:space="preserve">FISCHER  ANGELICA </v>
      </c>
      <c r="D69">
        <v>75</v>
      </c>
      <c r="E69" t="str">
        <v>CESAR MEYNET</v>
      </c>
      <c r="F69" t="str">
        <v>GENUVARO</v>
      </c>
      <c r="G69" t="str">
        <v xml:space="preserve">PTR PRIMARIA </v>
      </c>
      <c r="H69" t="str">
        <v xml:space="preserve">VILLALBA </v>
      </c>
      <c r="I69" t="str">
        <v>ACEPTADO</v>
      </c>
      <c r="J69" t="str">
        <v>PARANÁ</v>
      </c>
      <c r="K69" t="str">
        <v>PAMI</v>
      </c>
      <c r="L69">
        <v>0</v>
      </c>
    </row>
    <row r="70" spans="2:12" x14ac:dyDescent="0.25">
      <c r="B70">
        <v>45033</v>
      </c>
      <c r="C70" t="str">
        <v xml:space="preserve">YZURIETA  ADRIAN </v>
      </c>
      <c r="D70">
        <v>23</v>
      </c>
      <c r="E70" t="str">
        <v>MERLINI</v>
      </c>
      <c r="F70" t="str">
        <v>FX CLAVICULA</v>
      </c>
      <c r="G70" t="str">
        <v>PLACA ANAT</v>
      </c>
      <c r="H70">
        <v>0</v>
      </c>
      <c r="I70" t="str">
        <v xml:space="preserve">INICIADO </v>
      </c>
      <c r="J70" t="str">
        <v>PARANÁ</v>
      </c>
      <c r="K70" t="str">
        <v>S/M</v>
      </c>
      <c r="L70">
        <v>3435336066</v>
      </c>
    </row>
    <row r="71" spans="2:12" x14ac:dyDescent="0.25">
      <c r="B71">
        <v>45033</v>
      </c>
      <c r="C71" t="str">
        <v xml:space="preserve">GIRARD ANIBAL </v>
      </c>
      <c r="D71">
        <v>81</v>
      </c>
      <c r="E71" t="str">
        <v>MERLINI</v>
      </c>
      <c r="F71" t="str">
        <v>FX CADERA</v>
      </c>
      <c r="G71" t="str">
        <v>CLAVO GAMMA</v>
      </c>
      <c r="H71" t="str">
        <v xml:space="preserve">VILLALBA </v>
      </c>
      <c r="I71" t="str">
        <v>ACEPTADO</v>
      </c>
      <c r="J71" t="str">
        <v>PARANÁ</v>
      </c>
      <c r="K71" t="str">
        <v>PAMI</v>
      </c>
      <c r="L71">
        <v>0</v>
      </c>
    </row>
    <row r="72" spans="2:12" x14ac:dyDescent="0.25">
      <c r="B72">
        <v>45033</v>
      </c>
      <c r="C72" t="str">
        <v xml:space="preserve">HEFFELE MIRTA   </v>
      </c>
      <c r="D72">
        <v>72</v>
      </c>
      <c r="E72" t="str">
        <v>UCEDO</v>
      </c>
      <c r="F72" t="str">
        <v xml:space="preserve">FX  DE MUÑECA </v>
      </c>
      <c r="G72" t="str">
        <v xml:space="preserve">PLACA VOLAR </v>
      </c>
      <c r="H72" t="str">
        <v xml:space="preserve">VILLALBA </v>
      </c>
      <c r="I72" t="str">
        <v>ACEPTADO</v>
      </c>
      <c r="J72" t="str">
        <v>PARANÁ</v>
      </c>
      <c r="K72" t="str">
        <v>PAMI</v>
      </c>
      <c r="L72">
        <v>0</v>
      </c>
    </row>
    <row r="73" spans="2:12" x14ac:dyDescent="0.25">
      <c r="B73">
        <v>45033</v>
      </c>
      <c r="C73" t="str">
        <v xml:space="preserve">BONSI MARIA </v>
      </c>
      <c r="D73">
        <v>77</v>
      </c>
      <c r="E73" t="str">
        <v>MERLINI</v>
      </c>
      <c r="F73" t="str">
        <v>FX CADERA</v>
      </c>
      <c r="G73" t="str">
        <v xml:space="preserve">CLACO DHS </v>
      </c>
      <c r="H73" t="str">
        <v>VILLALBA</v>
      </c>
      <c r="I73" t="str">
        <v>ACEPTADO</v>
      </c>
      <c r="J73" t="str">
        <v>PARANÁ</v>
      </c>
      <c r="K73" t="str">
        <v>PAMI</v>
      </c>
      <c r="L73">
        <v>0</v>
      </c>
    </row>
    <row r="74" spans="2:12" x14ac:dyDescent="0.25">
      <c r="B74">
        <v>45033</v>
      </c>
      <c r="C74" t="str">
        <v xml:space="preserve">MORATO JONATHAN </v>
      </c>
      <c r="D74">
        <v>38</v>
      </c>
      <c r="E74" t="str">
        <v>MERLINI</v>
      </c>
      <c r="F74" t="str">
        <v>FX CODO</v>
      </c>
      <c r="G74" t="str">
        <v xml:space="preserve">PLACA ANATOMICA </v>
      </c>
      <c r="H74">
        <v>0</v>
      </c>
      <c r="I74" t="str">
        <v>ACEPTADO</v>
      </c>
      <c r="J74" t="str">
        <v>PARANÁ</v>
      </c>
      <c r="K74" t="str">
        <v>S/M</v>
      </c>
      <c r="L74">
        <v>0</v>
      </c>
    </row>
    <row r="75" spans="2:12" x14ac:dyDescent="0.25">
      <c r="B75">
        <v>45034</v>
      </c>
      <c r="C75" t="str">
        <v xml:space="preserve">NUÑEZ OSCAR </v>
      </c>
      <c r="D75">
        <v>0</v>
      </c>
      <c r="E75" t="str">
        <v>GARCIA VITOR</v>
      </c>
      <c r="F75">
        <v>0</v>
      </c>
      <c r="G75" t="str">
        <v>PTC CEMENTADA / COTILO</v>
      </c>
      <c r="H75">
        <v>0</v>
      </c>
      <c r="I75" t="str">
        <v xml:space="preserve">INICIADO </v>
      </c>
      <c r="J75" t="str">
        <v>PARANÁ</v>
      </c>
      <c r="K75" t="str">
        <v>S/M</v>
      </c>
      <c r="L75">
        <v>0</v>
      </c>
    </row>
    <row r="76" spans="2:12" x14ac:dyDescent="0.25">
      <c r="B76">
        <v>45034</v>
      </c>
      <c r="C76" t="str">
        <v xml:space="preserve">CASTILLO MARGARITA </v>
      </c>
      <c r="D76">
        <v>72</v>
      </c>
      <c r="E76" t="str">
        <v>MERLINI</v>
      </c>
      <c r="F76" t="str">
        <v>FX HUMERO</v>
      </c>
      <c r="G76" t="str">
        <v xml:space="preserve">CLAVO ENDOM  HUMERO </v>
      </c>
      <c r="H76" t="str">
        <v>VILLALBA</v>
      </c>
      <c r="I76" t="str">
        <v>ACEPTADO</v>
      </c>
      <c r="J76" t="str">
        <v>PARANÁ</v>
      </c>
      <c r="K76" t="str">
        <v>PAMI</v>
      </c>
      <c r="L76">
        <v>0</v>
      </c>
    </row>
    <row r="77" spans="2:12" x14ac:dyDescent="0.25">
      <c r="B77">
        <v>45035</v>
      </c>
      <c r="C77" t="str">
        <v xml:space="preserve">RODRIGUEZ J. CARLOS </v>
      </c>
      <c r="D77">
        <v>57</v>
      </c>
      <c r="E77" t="str">
        <v>VENTURI</v>
      </c>
      <c r="F77" t="str">
        <v xml:space="preserve">RUPT MANG ROT </v>
      </c>
      <c r="G77" t="str">
        <v xml:space="preserve">ARPONES </v>
      </c>
      <c r="H77">
        <v>0</v>
      </c>
      <c r="I77" t="str">
        <v xml:space="preserve">INICIADO </v>
      </c>
      <c r="J77" t="str">
        <v xml:space="preserve">LA PAZ </v>
      </c>
      <c r="K77" t="str">
        <v xml:space="preserve">PROFE </v>
      </c>
      <c r="L77">
        <v>0</v>
      </c>
    </row>
    <row r="78" spans="2:12" x14ac:dyDescent="0.25">
      <c r="B78">
        <v>45035</v>
      </c>
      <c r="C78" t="str">
        <v xml:space="preserve">DUARTE RAMONA </v>
      </c>
      <c r="D78">
        <v>54</v>
      </c>
      <c r="E78" t="str">
        <v>VENTURI</v>
      </c>
      <c r="F78" t="str">
        <v xml:space="preserve">RUPT MANG ROT 2 ARPONES </v>
      </c>
      <c r="G78" t="str">
        <v>ARPONES</v>
      </c>
      <c r="H78">
        <v>0</v>
      </c>
      <c r="I78" t="str">
        <v>ACEPTADO</v>
      </c>
      <c r="J78" t="str">
        <v>PARANÁ</v>
      </c>
      <c r="K78" t="str">
        <v xml:space="preserve">PROFE </v>
      </c>
      <c r="L78">
        <v>0</v>
      </c>
    </row>
    <row r="79" spans="2:12" x14ac:dyDescent="0.25">
      <c r="B79">
        <v>45035</v>
      </c>
      <c r="C79" t="str">
        <v xml:space="preserve">MENDOZA JOSE </v>
      </c>
      <c r="D79">
        <v>51</v>
      </c>
      <c r="E79" t="str">
        <v xml:space="preserve">JACOB </v>
      </c>
      <c r="F79" t="str">
        <v xml:space="preserve">ESPNDIOLITESIS </v>
      </c>
      <c r="G79" t="str">
        <v xml:space="preserve">BARRA/PLIF/DRILL/TORN </v>
      </c>
      <c r="H79">
        <v>0</v>
      </c>
      <c r="I79" t="str">
        <v>INICIADO</v>
      </c>
      <c r="J79" t="str">
        <v xml:space="preserve">DIAMANTE </v>
      </c>
      <c r="K79" t="str">
        <v>S/M</v>
      </c>
      <c r="L79">
        <v>0</v>
      </c>
    </row>
    <row r="80" spans="2:12" x14ac:dyDescent="0.25">
      <c r="B80">
        <v>45035</v>
      </c>
      <c r="C80" t="str">
        <v xml:space="preserve">CUELLO ALEXANDER </v>
      </c>
      <c r="D80">
        <v>0</v>
      </c>
      <c r="E80" t="str">
        <v xml:space="preserve">JACOB </v>
      </c>
      <c r="F80" t="str">
        <v xml:space="preserve">ESPNDIOLITESIS </v>
      </c>
      <c r="G80" t="str">
        <v xml:space="preserve">BARRA/PLIF/DRILL/TORN </v>
      </c>
      <c r="H80">
        <v>0</v>
      </c>
      <c r="I80" t="str">
        <v>INICIADO</v>
      </c>
      <c r="J80" t="str">
        <v>PARANÁ</v>
      </c>
      <c r="K80" t="str">
        <v>S/M</v>
      </c>
      <c r="L80">
        <v>0</v>
      </c>
    </row>
    <row r="81" spans="2:12" x14ac:dyDescent="0.25">
      <c r="B81">
        <v>45036</v>
      </c>
      <c r="C81" t="str">
        <v xml:space="preserve">FERREYRA RODRIGO </v>
      </c>
      <c r="D81">
        <v>22</v>
      </c>
      <c r="E81" t="str">
        <v>YACOMO</v>
      </c>
      <c r="F81" t="str">
        <v xml:space="preserve">LCA </v>
      </c>
      <c r="G81" t="str">
        <v xml:space="preserve">TORN/BOTON </v>
      </c>
      <c r="H81">
        <v>0</v>
      </c>
      <c r="I81" t="str">
        <v>INICIADO</v>
      </c>
      <c r="J81" t="str">
        <v>PARANÁ</v>
      </c>
      <c r="K81" t="str">
        <v>S/M</v>
      </c>
      <c r="L81">
        <v>0</v>
      </c>
    </row>
    <row r="82" spans="2:12" x14ac:dyDescent="0.25">
      <c r="B82">
        <v>45036</v>
      </c>
      <c r="C82" t="str">
        <v xml:space="preserve">PORTORREAL ROSA </v>
      </c>
      <c r="D82">
        <v>85</v>
      </c>
      <c r="E82" t="str">
        <v>UCEDO</v>
      </c>
      <c r="F82" t="str">
        <v>GENU VARO</v>
      </c>
      <c r="G82" t="str">
        <v xml:space="preserve">TOR. HERBERT </v>
      </c>
      <c r="H82" t="str">
        <v xml:space="preserve">VILLALBA </v>
      </c>
      <c r="I82" t="str">
        <v>ACEPTADO</v>
      </c>
      <c r="J82" t="str">
        <v>PARANÁ</v>
      </c>
      <c r="K82" t="str">
        <v>PAMI</v>
      </c>
      <c r="L82">
        <v>0</v>
      </c>
    </row>
    <row r="83" spans="2:12" x14ac:dyDescent="0.25">
      <c r="B83">
        <v>45036</v>
      </c>
      <c r="C83" t="str">
        <v xml:space="preserve">PEREZ ELBA </v>
      </c>
      <c r="D83">
        <v>69</v>
      </c>
      <c r="E83" t="str">
        <v>MERLINI</v>
      </c>
      <c r="F83" t="str">
        <v>FX HUMERO</v>
      </c>
      <c r="G83" t="str">
        <v>PLACA PHILOS</v>
      </c>
      <c r="H83" t="str">
        <v>VILLALBA</v>
      </c>
      <c r="I83" t="str">
        <v>ACEPTADO</v>
      </c>
      <c r="J83" t="str">
        <v>PARANÁ</v>
      </c>
      <c r="K83" t="str">
        <v>PAMI</v>
      </c>
      <c r="L83">
        <v>0</v>
      </c>
    </row>
    <row r="84" spans="2:12" x14ac:dyDescent="0.25">
      <c r="B84">
        <v>45040</v>
      </c>
      <c r="C84" t="str">
        <v xml:space="preserve">COTDOBA DORA </v>
      </c>
      <c r="D84">
        <v>73</v>
      </c>
      <c r="E84" t="str">
        <v>MERLINI</v>
      </c>
      <c r="F84" t="str">
        <v xml:space="preserve">EXTR PROTESIS </v>
      </c>
      <c r="G84" t="str">
        <v>TUTOR EXTERNO</v>
      </c>
      <c r="H84" t="str">
        <v>VILLALBA</v>
      </c>
      <c r="I84" t="str">
        <v>ACEPTADO</v>
      </c>
      <c r="J84" t="str">
        <v>PARANÁ</v>
      </c>
      <c r="K84" t="str">
        <v>PAMI</v>
      </c>
      <c r="L84">
        <v>0</v>
      </c>
    </row>
    <row r="85" spans="2:12" x14ac:dyDescent="0.25">
      <c r="B85">
        <v>45040</v>
      </c>
      <c r="C85" t="str">
        <v xml:space="preserve">URQUIZA MARIA </v>
      </c>
      <c r="D85">
        <v>73</v>
      </c>
      <c r="E85" t="str">
        <v>MERLINI</v>
      </c>
      <c r="F85" t="str">
        <v>RUP MANG ROTA</v>
      </c>
      <c r="G85" t="str">
        <v xml:space="preserve">PROT HOMB. ARPONES </v>
      </c>
      <c r="H85" t="str">
        <v>VILLALBA</v>
      </c>
      <c r="I85" t="str">
        <v>ACEPTADO</v>
      </c>
      <c r="J85" t="str">
        <v>PARANÁ</v>
      </c>
      <c r="K85" t="str">
        <v>PAMI</v>
      </c>
      <c r="L85">
        <v>0</v>
      </c>
    </row>
    <row r="86" spans="2:12" x14ac:dyDescent="0.25">
      <c r="B86">
        <v>45040</v>
      </c>
      <c r="C86" t="str">
        <v xml:space="preserve">MICHELOUD AILIN </v>
      </c>
      <c r="D86">
        <v>23</v>
      </c>
      <c r="E86" t="str">
        <v>MERLINI</v>
      </c>
      <c r="F86" t="str">
        <v>FX HUMERO</v>
      </c>
      <c r="G86" t="str">
        <v>PLACA PHILOS</v>
      </c>
      <c r="H86">
        <v>0</v>
      </c>
      <c r="I86" t="str">
        <v>INICIADO</v>
      </c>
      <c r="J86" t="str">
        <v>PARANÁ</v>
      </c>
      <c r="K86" t="str">
        <v>S/M</v>
      </c>
      <c r="L86">
        <v>0</v>
      </c>
    </row>
    <row r="87" spans="2:12" x14ac:dyDescent="0.25">
      <c r="B87">
        <v>45041</v>
      </c>
      <c r="C87" t="str">
        <v>CARDOSO ANIBAL</v>
      </c>
      <c r="D87">
        <v>0</v>
      </c>
      <c r="E87" t="str">
        <v>GARCIA VITOR</v>
      </c>
      <c r="F87" t="str">
        <v>COXARTROSIS</v>
      </c>
      <c r="G87" t="str">
        <v>PTC CEMENTADA / COTILO</v>
      </c>
      <c r="H87" t="str">
        <v xml:space="preserve">IP MAGNA </v>
      </c>
      <c r="I87" t="str">
        <v>ACEPTADO</v>
      </c>
      <c r="J87" t="str">
        <v>PARANÁ</v>
      </c>
      <c r="K87" t="str">
        <v>PAMI</v>
      </c>
      <c r="L87">
        <v>0</v>
      </c>
    </row>
    <row r="88" spans="2:12" x14ac:dyDescent="0.25">
      <c r="B88">
        <v>45041</v>
      </c>
      <c r="C88" t="str">
        <v>VALDEZ  ANIBAL</v>
      </c>
      <c r="D88">
        <v>0</v>
      </c>
      <c r="E88" t="str">
        <v>GARCIA VITOR</v>
      </c>
      <c r="F88" t="str">
        <v>COXARTROSIS</v>
      </c>
      <c r="G88" t="str">
        <v>PTC CEMENTADA / COTILO</v>
      </c>
      <c r="H88" t="str">
        <v xml:space="preserve">IP MAGNA </v>
      </c>
      <c r="I88" t="str">
        <v>ACEPTADO</v>
      </c>
      <c r="J88" t="str">
        <v>PARANÁ</v>
      </c>
      <c r="K88" t="str">
        <v>PAMI</v>
      </c>
      <c r="L88">
        <v>0</v>
      </c>
    </row>
    <row r="89" spans="2:12" x14ac:dyDescent="0.25">
      <c r="B89">
        <v>45042</v>
      </c>
      <c r="C89" t="str">
        <v xml:space="preserve">RICKERT MERCEDES </v>
      </c>
      <c r="D89">
        <v>81</v>
      </c>
      <c r="E89" t="str">
        <v>MERLINI</v>
      </c>
      <c r="F89" t="str">
        <v>FX CADERA</v>
      </c>
      <c r="G89" t="str">
        <v>CLAVO GAMMA</v>
      </c>
      <c r="H89" t="str">
        <v xml:space="preserve">VILLALBA </v>
      </c>
      <c r="I89" t="str">
        <v>ACEPTADO</v>
      </c>
      <c r="J89" t="str">
        <v>PARANÁ</v>
      </c>
      <c r="K89" t="str">
        <v>PAMI</v>
      </c>
      <c r="L89">
        <v>0</v>
      </c>
    </row>
    <row r="90" spans="2:12" x14ac:dyDescent="0.25">
      <c r="B90">
        <v>45042</v>
      </c>
      <c r="C90" t="str">
        <v xml:space="preserve">FAIN MARIA </v>
      </c>
      <c r="D90">
        <v>63</v>
      </c>
      <c r="E90" t="str">
        <v>SUKSDORF</v>
      </c>
      <c r="F90" t="str">
        <v>GONARTROSIS</v>
      </c>
      <c r="G90" t="str">
        <v xml:space="preserve">PTR ANATOMICA </v>
      </c>
      <c r="H90" t="str">
        <v xml:space="preserve">IP MAGNA </v>
      </c>
      <c r="I90" t="str">
        <v>ACEPTADO</v>
      </c>
      <c r="J90" t="str">
        <v>PARANÁ</v>
      </c>
      <c r="K90" t="str">
        <v>PAMI</v>
      </c>
      <c r="L90">
        <v>0</v>
      </c>
    </row>
    <row r="91" spans="2:12" x14ac:dyDescent="0.25">
      <c r="B91">
        <v>45043</v>
      </c>
      <c r="C91" t="str">
        <v>AVILA EXEQUIEL</v>
      </c>
      <c r="D91">
        <v>16</v>
      </c>
      <c r="E91" t="str">
        <v>MERLINI</v>
      </c>
      <c r="F91" t="str">
        <v>FX ANTE BRAZO</v>
      </c>
      <c r="G91" t="str">
        <v>PLACA DCP/PLACA T.TUBO</v>
      </c>
      <c r="H91">
        <v>0</v>
      </c>
      <c r="I91" t="str">
        <v>INICIADO</v>
      </c>
      <c r="J91" t="str">
        <v>PARANÁ</v>
      </c>
      <c r="K91" t="str">
        <v>S/M</v>
      </c>
      <c r="L91">
        <v>0</v>
      </c>
    </row>
    <row r="92" spans="2:12" x14ac:dyDescent="0.25">
      <c r="B92">
        <v>45043</v>
      </c>
      <c r="C92" t="str">
        <v>SANTILLAN ALFREDO</v>
      </c>
      <c r="D92">
        <v>0</v>
      </c>
      <c r="E92" t="str">
        <v xml:space="preserve">JACOB </v>
      </c>
      <c r="F92" t="str">
        <v>HERNIA DE DISCO</v>
      </c>
      <c r="G92" t="str">
        <v>CAGE/DRILL/SUST OSEO</v>
      </c>
      <c r="H92">
        <v>0</v>
      </c>
      <c r="I92" t="str">
        <v>INICIADO</v>
      </c>
      <c r="J92" t="str">
        <v>PARANÁ</v>
      </c>
      <c r="K92" t="str">
        <v>S/M</v>
      </c>
      <c r="L92">
        <v>0</v>
      </c>
    </row>
    <row r="93" spans="2:12" x14ac:dyDescent="0.25">
      <c r="B93">
        <v>45043</v>
      </c>
      <c r="C93" t="str">
        <v>MARDON ALVARO</v>
      </c>
      <c r="D93">
        <v>47</v>
      </c>
      <c r="E93" t="str">
        <v>STOPELLO</v>
      </c>
      <c r="F93" t="str">
        <v>GENU VARO</v>
      </c>
      <c r="G93" t="str">
        <v>PLACA PUDDU</v>
      </c>
      <c r="H93">
        <v>0</v>
      </c>
      <c r="I93" t="str">
        <v>INICIADO</v>
      </c>
      <c r="J93" t="str">
        <v>PARANÁ</v>
      </c>
      <c r="K93" t="str">
        <v>S/M</v>
      </c>
      <c r="L93">
        <v>0</v>
      </c>
    </row>
    <row r="94" spans="2:12" x14ac:dyDescent="0.25">
      <c r="B94">
        <v>45043</v>
      </c>
      <c r="C94" t="str">
        <v xml:space="preserve">RODRIGUEZ NORMA </v>
      </c>
      <c r="D94">
        <v>70</v>
      </c>
      <c r="E94" t="str">
        <v>MERLINI</v>
      </c>
      <c r="F94" t="str">
        <v>FX MUÑECA</v>
      </c>
      <c r="G94" t="str">
        <v>PLCA DOBLE/TERCIO TUBO</v>
      </c>
      <c r="H94" t="str">
        <v>VILLALBA</v>
      </c>
      <c r="I94" t="str">
        <v>ACEPTADO</v>
      </c>
      <c r="J94" t="str">
        <v>PARANÁ</v>
      </c>
      <c r="K94" t="str">
        <v>PAMI</v>
      </c>
      <c r="L94">
        <v>0</v>
      </c>
    </row>
    <row r="95" spans="2:12" x14ac:dyDescent="0.25">
      <c r="B95">
        <v>45044</v>
      </c>
      <c r="C95" t="str">
        <v>RLODRIGUEZ SANTIAGO</v>
      </c>
      <c r="D95">
        <v>16</v>
      </c>
      <c r="E95" t="str">
        <v xml:space="preserve">URANGA </v>
      </c>
      <c r="F95" t="str">
        <v xml:space="preserve">ESCOLIOSIS </v>
      </c>
      <c r="G95" t="str">
        <v xml:space="preserve">BARRA/PLIF/DRILL/TORN </v>
      </c>
      <c r="H95">
        <v>0</v>
      </c>
      <c r="I95" t="str">
        <v xml:space="preserve">INICIADO </v>
      </c>
      <c r="J95" t="str">
        <v>VILLAGUAY</v>
      </c>
      <c r="K95" t="str">
        <v>S/M</v>
      </c>
      <c r="L95">
        <v>0</v>
      </c>
    </row>
    <row r="96" spans="2:12" x14ac:dyDescent="0.25">
      <c r="B96">
        <v>45044</v>
      </c>
      <c r="C96" t="str">
        <v>RODRIGUEZ SANTIAGO</v>
      </c>
      <c r="D96">
        <v>16</v>
      </c>
      <c r="E96" t="str">
        <v xml:space="preserve">URANGA </v>
      </c>
      <c r="F96" t="str">
        <v xml:space="preserve">ESCOLIOSIS </v>
      </c>
      <c r="G96" t="str">
        <v xml:space="preserve">POT EVOC. MOTORES </v>
      </c>
      <c r="H96">
        <v>0</v>
      </c>
      <c r="I96" t="str">
        <v xml:space="preserve">INICIADO </v>
      </c>
      <c r="J96" t="str">
        <v>VILLAGUAY</v>
      </c>
      <c r="K96" t="str">
        <v>S/M</v>
      </c>
      <c r="L96">
        <v>0</v>
      </c>
    </row>
    <row r="97" spans="2:12" x14ac:dyDescent="0.25">
      <c r="B97">
        <v>45045</v>
      </c>
      <c r="C97" t="str">
        <v xml:space="preserve">SEGOVIA MARIA </v>
      </c>
      <c r="D97">
        <v>26</v>
      </c>
      <c r="E97" t="str">
        <v>CATRIEL GODOY</v>
      </c>
      <c r="F97" t="str">
        <v xml:space="preserve">RUP LCA </v>
      </c>
      <c r="G97" t="str">
        <v>TORN.INTERF./BOTON</v>
      </c>
      <c r="H97">
        <v>0</v>
      </c>
      <c r="I97" t="str">
        <v>ACEPTADO</v>
      </c>
      <c r="J97" t="str">
        <v>PARANÁ</v>
      </c>
      <c r="K97" t="str">
        <v>S/M</v>
      </c>
      <c r="L97">
        <v>0</v>
      </c>
    </row>
    <row r="98" spans="2:12" x14ac:dyDescent="0.25">
      <c r="B98">
        <v>45049</v>
      </c>
      <c r="C98" t="str">
        <v xml:space="preserve">MARTINEZ STELLA </v>
      </c>
      <c r="D98">
        <v>70</v>
      </c>
      <c r="E98" t="str">
        <v>MERLINI</v>
      </c>
      <c r="F98" t="str">
        <v xml:space="preserve">FX MUÑECA </v>
      </c>
      <c r="G98" t="str">
        <v xml:space="preserve">PLACA DOBLE H. DISTAL </v>
      </c>
      <c r="H98" t="str">
        <v xml:space="preserve">VILLALBA </v>
      </c>
      <c r="I98" t="str">
        <v>ACEPTADO</v>
      </c>
      <c r="J98" t="str">
        <v>PARANÁ</v>
      </c>
      <c r="K98" t="str">
        <v>PAMI</v>
      </c>
      <c r="L98">
        <v>0</v>
      </c>
    </row>
    <row r="99" spans="2:12" x14ac:dyDescent="0.25">
      <c r="B99">
        <v>45049</v>
      </c>
      <c r="C99" t="str">
        <v xml:space="preserve">KUNZI L SEBASTIAN </v>
      </c>
      <c r="D99">
        <v>73</v>
      </c>
      <c r="E99" t="str">
        <v>GARCIA VITOR</v>
      </c>
      <c r="F99" t="str">
        <v>COXARTROSIS</v>
      </c>
      <c r="G99" t="str">
        <v>PTC CEMENTADA / COTILO</v>
      </c>
      <c r="H99" t="str">
        <v>VILLALBA</v>
      </c>
      <c r="I99" t="str">
        <v>ACEPTADO</v>
      </c>
      <c r="J99" t="str">
        <v>PARANÁ</v>
      </c>
      <c r="K99" t="str">
        <v>PAMI</v>
      </c>
      <c r="L99">
        <v>0</v>
      </c>
    </row>
    <row r="100" spans="2:12" x14ac:dyDescent="0.25">
      <c r="B100">
        <v>45049</v>
      </c>
      <c r="C100" t="str">
        <v xml:space="preserve">DE ANGELI ANGEL LUIS </v>
      </c>
      <c r="D100">
        <v>76</v>
      </c>
      <c r="E100" t="str">
        <v>GARCIA VITOR</v>
      </c>
      <c r="F100" t="str">
        <v xml:space="preserve">FX CADERA </v>
      </c>
      <c r="G100" t="str">
        <v xml:space="preserve">CLAVO GAMMA </v>
      </c>
      <c r="H100" t="str">
        <v xml:space="preserve">VILLALBA </v>
      </c>
      <c r="I100" t="str">
        <v>ACEPTADO</v>
      </c>
      <c r="J100" t="str">
        <v xml:space="preserve">VIALE </v>
      </c>
      <c r="K100" t="str">
        <v>PAMI</v>
      </c>
      <c r="L100">
        <v>0</v>
      </c>
    </row>
    <row r="101" spans="2:12" x14ac:dyDescent="0.25">
      <c r="B101">
        <v>45049</v>
      </c>
      <c r="C101" t="str">
        <v xml:space="preserve">BUSULARI RAFAEL </v>
      </c>
      <c r="D101">
        <v>54</v>
      </c>
      <c r="E101" t="str">
        <v xml:space="preserve">HERMIDA </v>
      </c>
      <c r="F101" t="str">
        <v>COXARTROSIS</v>
      </c>
      <c r="G101" t="str">
        <v>PTC NO CEMENT</v>
      </c>
      <c r="H101">
        <v>0</v>
      </c>
      <c r="I101" t="str">
        <v>INICIADO</v>
      </c>
      <c r="J101" t="str">
        <v>HASENKAMP</v>
      </c>
      <c r="K101" t="str">
        <v>S/M</v>
      </c>
      <c r="L101">
        <v>0</v>
      </c>
    </row>
    <row r="102" spans="2:12" x14ac:dyDescent="0.25">
      <c r="B102">
        <v>45049</v>
      </c>
      <c r="C102" t="str">
        <v>BENITEZ NANCY</v>
      </c>
      <c r="D102">
        <v>52</v>
      </c>
      <c r="E102" t="str">
        <v>SUKSDORF</v>
      </c>
      <c r="F102" t="str">
        <v xml:space="preserve">LCA </v>
      </c>
      <c r="G102" t="str">
        <v xml:space="preserve">TORNILLOS /BOTON </v>
      </c>
      <c r="H102">
        <v>0</v>
      </c>
      <c r="I102" t="str">
        <v>ACEPTADO</v>
      </c>
      <c r="J102" t="str">
        <v>GUALEGUAY</v>
      </c>
      <c r="K102" t="str">
        <v>S/M</v>
      </c>
      <c r="L102">
        <v>0</v>
      </c>
    </row>
    <row r="103" spans="2:12" x14ac:dyDescent="0.25">
      <c r="B103">
        <v>45049</v>
      </c>
      <c r="C103" t="str">
        <v xml:space="preserve">SALUZZIO ANGELA M. CRISTINA </v>
      </c>
      <c r="D103">
        <v>74</v>
      </c>
      <c r="E103" t="str">
        <v>COLLOMB</v>
      </c>
      <c r="F103">
        <v>0</v>
      </c>
      <c r="G103" t="str">
        <v>PTC CEMENTADA / COTILO</v>
      </c>
      <c r="H103" t="str">
        <v>VILLALBA</v>
      </c>
      <c r="I103" t="str">
        <v>ACEPTADO</v>
      </c>
      <c r="J103" t="str">
        <v>PARANÁ</v>
      </c>
      <c r="K103" t="str">
        <v>PAMI</v>
      </c>
      <c r="L103">
        <v>4</v>
      </c>
    </row>
    <row r="104" spans="2:12" x14ac:dyDescent="0.25">
      <c r="B104">
        <v>45050</v>
      </c>
      <c r="C104" t="str">
        <v xml:space="preserve">MAYDANA LUIS </v>
      </c>
      <c r="D104">
        <v>67</v>
      </c>
      <c r="E104" t="str">
        <v>CESAR MEYNET</v>
      </c>
      <c r="F104" t="str">
        <v>COXARTROSIS</v>
      </c>
      <c r="G104" t="str">
        <v>PTC CEMENTADA / COTILO</v>
      </c>
      <c r="H104">
        <v>0</v>
      </c>
      <c r="I104" t="str">
        <v>ACEPTADO</v>
      </c>
      <c r="J104" t="str">
        <v>PARANÁ</v>
      </c>
      <c r="K104" t="str">
        <v>S/M</v>
      </c>
      <c r="L104">
        <v>0</v>
      </c>
    </row>
    <row r="105" spans="2:12" x14ac:dyDescent="0.25">
      <c r="B105">
        <v>45051</v>
      </c>
      <c r="C105" t="str">
        <v>MOREYRA GUSTAVO</v>
      </c>
      <c r="D105">
        <v>33</v>
      </c>
      <c r="E105" t="str">
        <v>GARCIA VITOR</v>
      </c>
      <c r="F105" t="str">
        <v>SEUA.INFEC</v>
      </c>
      <c r="G105" t="str">
        <v>CLAVO CEMENTADO</v>
      </c>
      <c r="H105">
        <v>0</v>
      </c>
      <c r="I105" t="str">
        <v>ACEPTADO</v>
      </c>
      <c r="J105" t="str">
        <v>PARANÁ</v>
      </c>
      <c r="K105" t="str">
        <v>S/M</v>
      </c>
      <c r="L105">
        <v>0</v>
      </c>
    </row>
    <row r="106" spans="2:12" x14ac:dyDescent="0.25">
      <c r="B106">
        <v>45051</v>
      </c>
      <c r="C106" t="str">
        <v xml:space="preserve">DE LOS SANTOS M DEL CARMEN </v>
      </c>
      <c r="D106">
        <v>68</v>
      </c>
      <c r="E106" t="str">
        <v>GARCIA VITOR</v>
      </c>
      <c r="F106" t="str">
        <v>GONARTROSIS</v>
      </c>
      <c r="G106" t="str">
        <v xml:space="preserve">RTR ANATOMICA </v>
      </c>
      <c r="H106" t="str">
        <v xml:space="preserve">IP MAGNA </v>
      </c>
      <c r="I106" t="str">
        <v>ACEPTADO</v>
      </c>
      <c r="J106" t="str">
        <v>GRAL RAMIREZ</v>
      </c>
      <c r="K106" t="str">
        <v>PAMI</v>
      </c>
      <c r="L106">
        <v>0</v>
      </c>
    </row>
    <row r="107" spans="2:12" x14ac:dyDescent="0.25">
      <c r="B107">
        <v>45051</v>
      </c>
      <c r="C107" t="str">
        <v xml:space="preserve">JUNCOS HECTOR </v>
      </c>
      <c r="D107">
        <v>70</v>
      </c>
      <c r="E107" t="str">
        <v>GARCIA VITOR</v>
      </c>
      <c r="F107" t="str">
        <v>GENU VARO IZQ</v>
      </c>
      <c r="G107" t="str">
        <v xml:space="preserve">PRP CON VASTY CUÑAS </v>
      </c>
      <c r="H107" t="str">
        <v xml:space="preserve">IP MAGNA </v>
      </c>
      <c r="I107" t="str">
        <v>ACEPTADO</v>
      </c>
      <c r="J107" t="str">
        <v>PARANÁ</v>
      </c>
      <c r="K107" t="str">
        <v>PAMI</v>
      </c>
      <c r="L107">
        <v>0</v>
      </c>
    </row>
    <row r="108" spans="2:12" x14ac:dyDescent="0.25">
      <c r="B108">
        <v>45051</v>
      </c>
      <c r="C108" t="str">
        <v xml:space="preserve">JUNCOS HECTOR </v>
      </c>
      <c r="D108">
        <v>70</v>
      </c>
      <c r="E108" t="str">
        <v>GARCIA VITOR</v>
      </c>
      <c r="F108" t="str">
        <v>GENU VARO DER</v>
      </c>
      <c r="G108" t="str">
        <v xml:space="preserve">PRP CON VASTY CUÑAS </v>
      </c>
      <c r="H108" t="str">
        <v xml:space="preserve">IP MAGNA </v>
      </c>
      <c r="I108" t="str">
        <v>ACEPTADO</v>
      </c>
      <c r="J108" t="str">
        <v>PARANÁ</v>
      </c>
      <c r="K108" t="str">
        <v>PAMI</v>
      </c>
      <c r="L108">
        <v>0</v>
      </c>
    </row>
    <row r="109" spans="2:12" x14ac:dyDescent="0.25">
      <c r="B109">
        <v>45051</v>
      </c>
      <c r="C109" t="str">
        <v>FONTANA HUMBERTO</v>
      </c>
      <c r="D109">
        <v>66</v>
      </c>
      <c r="E109" t="str">
        <v>COLLOMB</v>
      </c>
      <c r="F109" t="str">
        <v>FX TOBILLO IZQ</v>
      </c>
      <c r="G109" t="str">
        <v>PLACA TERCI TUBO</v>
      </c>
      <c r="H109" t="str">
        <v xml:space="preserve">VILLALBA </v>
      </c>
      <c r="I109" t="str">
        <v>ACEPTADO</v>
      </c>
      <c r="J109" t="str">
        <v>PARANÁ</v>
      </c>
      <c r="K109" t="str">
        <v>PAMI</v>
      </c>
      <c r="L109">
        <v>0</v>
      </c>
    </row>
    <row r="110" spans="2:12" x14ac:dyDescent="0.25">
      <c r="B110">
        <v>45054</v>
      </c>
      <c r="C110" t="str">
        <v xml:space="preserve">PENAU ROSA ESTER </v>
      </c>
      <c r="D110">
        <v>64</v>
      </c>
      <c r="E110" t="str">
        <v>UCEDO</v>
      </c>
      <c r="F110" t="str">
        <v>FX CADERA</v>
      </c>
      <c r="G110" t="str">
        <v>CLAVO GAMMA</v>
      </c>
      <c r="H110" t="str">
        <v>VILLALBA</v>
      </c>
      <c r="I110" t="str">
        <v>ACEPTADO</v>
      </c>
      <c r="J110" t="str">
        <v>PARANÁ</v>
      </c>
      <c r="K110" t="str">
        <v>PAMI</v>
      </c>
      <c r="L110">
        <v>0</v>
      </c>
    </row>
    <row r="111" spans="2:12" x14ac:dyDescent="0.25">
      <c r="B111">
        <v>45054</v>
      </c>
      <c r="C111" t="str">
        <v>BARBOZA ABRIL</v>
      </c>
      <c r="D111">
        <v>17</v>
      </c>
      <c r="E111" t="str">
        <v>UCEDO</v>
      </c>
      <c r="F111" t="str">
        <v>FX CALCANEO</v>
      </c>
      <c r="G111" t="str">
        <v xml:space="preserve">PLACA LAMBDA </v>
      </c>
      <c r="H111">
        <v>0</v>
      </c>
      <c r="I111" t="str">
        <v>INICIADO</v>
      </c>
      <c r="J111" t="str">
        <v>PARANÁ</v>
      </c>
      <c r="K111" t="str">
        <v>S/M</v>
      </c>
      <c r="L111">
        <v>0</v>
      </c>
    </row>
    <row r="112" spans="2:12" x14ac:dyDescent="0.25">
      <c r="B112">
        <v>45054</v>
      </c>
      <c r="C112" t="str">
        <v>MANZANO EDUARDO</v>
      </c>
      <c r="D112">
        <v>67</v>
      </c>
      <c r="E112" t="str">
        <v>UCEDO</v>
      </c>
      <c r="F112" t="str">
        <v xml:space="preserve">FX TIBIA Y PERONE </v>
      </c>
      <c r="G112" t="str">
        <v>PLACA TERCI TUBO/CLAVO</v>
      </c>
      <c r="H112" t="str">
        <v xml:space="preserve">VILLALBA </v>
      </c>
      <c r="I112" t="str">
        <v>ACEPTADO</v>
      </c>
      <c r="J112" t="str">
        <v xml:space="preserve">MARIA GRANDE </v>
      </c>
      <c r="K112" t="str">
        <v>PAMI</v>
      </c>
      <c r="L112">
        <v>0</v>
      </c>
    </row>
    <row r="113" spans="2:12" x14ac:dyDescent="0.25">
      <c r="B113">
        <v>45054</v>
      </c>
      <c r="C113" t="str">
        <v xml:space="preserve">GAITAN SEBASTIAN </v>
      </c>
      <c r="D113">
        <v>43</v>
      </c>
      <c r="E113" t="str">
        <v>CATRIEL GODOY</v>
      </c>
      <c r="F113" t="str">
        <v>RUP. LCA</v>
      </c>
      <c r="G113" t="str">
        <v xml:space="preserve">TORN/BOTON </v>
      </c>
      <c r="H113">
        <v>0</v>
      </c>
      <c r="I113" t="str">
        <v>ACEPTADO</v>
      </c>
      <c r="J113" t="str">
        <v>LUCAS GONZALEZ</v>
      </c>
      <c r="K113" t="str">
        <v>S/M</v>
      </c>
      <c r="L113">
        <v>0</v>
      </c>
    </row>
    <row r="114" spans="2:12" x14ac:dyDescent="0.25">
      <c r="B114">
        <v>45056</v>
      </c>
      <c r="C114" t="str">
        <v xml:space="preserve">ORCELLET MARTA IRMA </v>
      </c>
      <c r="D114">
        <v>80</v>
      </c>
      <c r="E114" t="str">
        <v>MERLINI</v>
      </c>
      <c r="F114" t="str">
        <v>FC HOMBRO</v>
      </c>
      <c r="G114" t="str">
        <v>P.PHILOS/P.HOMBRO</v>
      </c>
      <c r="H114" t="str">
        <v>VILLALBA</v>
      </c>
      <c r="I114" t="str">
        <v>ACEPTADO</v>
      </c>
      <c r="J114" t="str">
        <v>PARANÁ</v>
      </c>
      <c r="K114" t="str">
        <v>PAMI</v>
      </c>
      <c r="L114">
        <v>0</v>
      </c>
    </row>
    <row r="115" spans="2:12" x14ac:dyDescent="0.25">
      <c r="B115">
        <v>45056</v>
      </c>
      <c r="C115" t="str">
        <v xml:space="preserve">MONTENEGRO TERESA </v>
      </c>
      <c r="D115">
        <v>73</v>
      </c>
      <c r="E115" t="str">
        <v>VENTURI</v>
      </c>
      <c r="F115" t="str">
        <v>GONARTROSIS</v>
      </c>
      <c r="G115" t="str">
        <v xml:space="preserve">RTR ANATOMICA </v>
      </c>
      <c r="H115" t="str">
        <v>VILLALBA</v>
      </c>
      <c r="I115" t="str">
        <v>ACEPTADO</v>
      </c>
      <c r="J115" t="str">
        <v>PARANÁ</v>
      </c>
      <c r="K115" t="str">
        <v>PAMI</v>
      </c>
      <c r="L115">
        <v>0</v>
      </c>
    </row>
    <row r="116" spans="2:12" x14ac:dyDescent="0.25">
      <c r="B116">
        <v>45056</v>
      </c>
      <c r="C116" t="str">
        <v xml:space="preserve">VILLAVERDE ALICIA </v>
      </c>
      <c r="D116">
        <v>68</v>
      </c>
      <c r="E116" t="str">
        <v>UCEDO</v>
      </c>
      <c r="F116" t="str">
        <v xml:space="preserve">HALLUX VALGUS </v>
      </c>
      <c r="G116" t="str">
        <v>TORN  HERBERT</v>
      </c>
      <c r="H116" t="str">
        <v xml:space="preserve">VILLALBA </v>
      </c>
      <c r="I116" t="str">
        <v>ACEPTADO</v>
      </c>
      <c r="J116" t="str">
        <v>PARANÁ</v>
      </c>
      <c r="K116" t="str">
        <v>PAMI</v>
      </c>
      <c r="L116">
        <v>0</v>
      </c>
    </row>
    <row r="117" spans="2:12" x14ac:dyDescent="0.25">
      <c r="B117">
        <v>45056</v>
      </c>
      <c r="C117" t="str">
        <v xml:space="preserve">ACOSTA VICTORIA </v>
      </c>
      <c r="D117">
        <v>72</v>
      </c>
      <c r="E117" t="str">
        <v>MERLINI</v>
      </c>
      <c r="F117" t="str">
        <v>FX CODO</v>
      </c>
      <c r="G117" t="str">
        <v xml:space="preserve">P. CUP. RADIAL </v>
      </c>
      <c r="H117" t="str">
        <v xml:space="preserve">VILLALBA </v>
      </c>
      <c r="I117" t="str">
        <v>ACEPTADO</v>
      </c>
      <c r="J117" t="str">
        <v>PARANÁ</v>
      </c>
      <c r="K117" t="str">
        <v>PAMI</v>
      </c>
      <c r="L117">
        <v>0</v>
      </c>
    </row>
    <row r="118" spans="2:12" x14ac:dyDescent="0.25">
      <c r="B118">
        <v>45056</v>
      </c>
      <c r="C118" t="str">
        <v xml:space="preserve">PEREZ STELLA </v>
      </c>
      <c r="D118">
        <v>40</v>
      </c>
      <c r="E118" t="str">
        <v xml:space="preserve">JACOB </v>
      </c>
      <c r="F118" t="str">
        <v xml:space="preserve">ESPONDILITESIS </v>
      </c>
      <c r="G118" t="str">
        <v>TORNI/CAGE/DRILL</v>
      </c>
      <c r="H118">
        <v>0</v>
      </c>
      <c r="I118" t="str">
        <v>ACEPTADO</v>
      </c>
      <c r="J118" t="str">
        <v>PARANÁ</v>
      </c>
      <c r="K118" t="str">
        <v>S/M</v>
      </c>
      <c r="L118">
        <v>0</v>
      </c>
    </row>
    <row r="119" spans="2:12" x14ac:dyDescent="0.25">
      <c r="B119">
        <v>45057</v>
      </c>
      <c r="C119" t="str">
        <v>BATTAGLIERO ERNESTO</v>
      </c>
      <c r="D119">
        <v>62</v>
      </c>
      <c r="E119" t="str">
        <v>SAPETTI</v>
      </c>
      <c r="F119" t="str">
        <v>GONARTROSIS</v>
      </c>
      <c r="G119" t="str">
        <v xml:space="preserve">PTR ANATOMICA </v>
      </c>
      <c r="H119" t="str">
        <v xml:space="preserve">IP MAGNA </v>
      </c>
      <c r="I119" t="str">
        <v>ACEPTADO</v>
      </c>
      <c r="J119" t="str">
        <v>PARANÁ</v>
      </c>
      <c r="K119" t="str">
        <v>PAMI</v>
      </c>
      <c r="L119">
        <v>0</v>
      </c>
    </row>
    <row r="120" spans="2:12" x14ac:dyDescent="0.25">
      <c r="B120">
        <v>45057</v>
      </c>
      <c r="C120" t="str">
        <v xml:space="preserve">VAZQUEZ MIGUEL </v>
      </c>
      <c r="D120">
        <v>60</v>
      </c>
      <c r="E120" t="str">
        <v>STOPELLO</v>
      </c>
      <c r="F120" t="str">
        <v>GONARTROSIS</v>
      </c>
      <c r="G120" t="str">
        <v xml:space="preserve">PTR ANATOMICA </v>
      </c>
      <c r="H120" t="str">
        <v xml:space="preserve">IP MAGNA </v>
      </c>
      <c r="I120" t="str">
        <v>ACEPTADO</v>
      </c>
      <c r="J120" t="str">
        <v>PARANÁ</v>
      </c>
      <c r="K120" t="str">
        <v>PAMI</v>
      </c>
      <c r="L120">
        <v>0</v>
      </c>
    </row>
    <row r="121" spans="2:12" x14ac:dyDescent="0.25">
      <c r="B121">
        <v>45057</v>
      </c>
      <c r="C121" t="str">
        <v>MOREYRA EMILIO</v>
      </c>
      <c r="D121">
        <v>63</v>
      </c>
      <c r="E121" t="str">
        <v>GARCIA VITOR</v>
      </c>
      <c r="F121" t="str">
        <v>GONARTROSIS</v>
      </c>
      <c r="G121" t="str">
        <v xml:space="preserve">PTR ANATOMICA </v>
      </c>
      <c r="H121" t="str">
        <v xml:space="preserve">IP MAGNA </v>
      </c>
      <c r="I121" t="str">
        <v>ACEPTADO</v>
      </c>
      <c r="J121" t="str">
        <v>PARANÁ</v>
      </c>
      <c r="K121" t="str">
        <v>PAMI</v>
      </c>
      <c r="L121">
        <v>0</v>
      </c>
    </row>
    <row r="122" spans="2:12" x14ac:dyDescent="0.25">
      <c r="B122">
        <v>45061</v>
      </c>
      <c r="C122" t="str">
        <v>CORIA JORGE ANSELMO</v>
      </c>
      <c r="D122">
        <v>64</v>
      </c>
      <c r="E122" t="str">
        <v>GARCIA VITOR</v>
      </c>
      <c r="F122" t="str">
        <v xml:space="preserve">FX PLATILLO </v>
      </c>
      <c r="G122" t="str">
        <v>PLACA T Y L</v>
      </c>
      <c r="H122" t="str">
        <v xml:space="preserve">VILLALBA </v>
      </c>
      <c r="I122" t="str">
        <v>ACEPTADO</v>
      </c>
      <c r="J122" t="str">
        <v>PARANÁ</v>
      </c>
      <c r="K122" t="str">
        <v>PAMI</v>
      </c>
      <c r="L122">
        <v>0</v>
      </c>
    </row>
    <row r="123" spans="2:12" x14ac:dyDescent="0.25">
      <c r="B123">
        <v>45061</v>
      </c>
      <c r="C123" t="str">
        <v xml:space="preserve">PORTORREAL ROSA </v>
      </c>
      <c r="D123">
        <v>85</v>
      </c>
      <c r="E123" t="str">
        <v>MERLINI</v>
      </c>
      <c r="F123" t="str">
        <v>FX TOBILLO</v>
      </c>
      <c r="G123" t="str">
        <v>PLACA TERCIO TUBO</v>
      </c>
      <c r="H123" t="str">
        <v xml:space="preserve">VILLALVA </v>
      </c>
      <c r="I123" t="str">
        <v>ACEPTADO</v>
      </c>
      <c r="J123" t="str">
        <v>PARANÁ</v>
      </c>
      <c r="K123" t="str">
        <v>PAMI</v>
      </c>
      <c r="L123">
        <v>0</v>
      </c>
    </row>
    <row r="124" spans="2:12" x14ac:dyDescent="0.25">
      <c r="B124">
        <v>45061</v>
      </c>
      <c r="C124" t="str">
        <v xml:space="preserve">VILLAVERDE MATIAS </v>
      </c>
      <c r="D124">
        <v>40</v>
      </c>
      <c r="E124" t="str">
        <v>MERLINI</v>
      </c>
      <c r="F124" t="str">
        <v>FX MUÑECA</v>
      </c>
      <c r="G124" t="str">
        <v>PLCA DOBLE/TERCIO TUBO</v>
      </c>
      <c r="H124">
        <v>0</v>
      </c>
      <c r="I124" t="str">
        <v>ACEPTADO</v>
      </c>
      <c r="J124" t="str">
        <v>PARANÁ</v>
      </c>
      <c r="K124" t="str">
        <v>S/M</v>
      </c>
      <c r="L124">
        <v>0</v>
      </c>
    </row>
    <row r="125" spans="2:12" x14ac:dyDescent="0.25">
      <c r="B125">
        <v>45062</v>
      </c>
      <c r="C125" t="str">
        <v xml:space="preserve">buschiazzo j carlos </v>
      </c>
      <c r="D125">
        <v>52</v>
      </c>
      <c r="E125" t="str">
        <v>sapetti</v>
      </c>
      <c r="F125" t="str">
        <v xml:space="preserve">artrosis bilateral </v>
      </c>
      <c r="G125" t="str">
        <v xml:space="preserve">RTR ANATOMICA </v>
      </c>
      <c r="H125">
        <v>0</v>
      </c>
      <c r="I125" t="str">
        <v>ACEPTADO</v>
      </c>
      <c r="J125" t="str">
        <v xml:space="preserve">DIAMANTE </v>
      </c>
      <c r="K125" t="str">
        <v>S/M</v>
      </c>
      <c r="L125">
        <v>0</v>
      </c>
    </row>
    <row r="126" spans="2:12" x14ac:dyDescent="0.25">
      <c r="B126">
        <v>45062</v>
      </c>
      <c r="C126" t="str">
        <v xml:space="preserve">QUIROZ MAIRA </v>
      </c>
      <c r="D126">
        <v>27</v>
      </c>
      <c r="E126" t="str">
        <v>MERLINI</v>
      </c>
      <c r="F126" t="str">
        <v>FX TOBILLO</v>
      </c>
      <c r="G126" t="str">
        <v>PLACA TERCIO TUBO</v>
      </c>
      <c r="H126">
        <v>0</v>
      </c>
      <c r="I126" t="str">
        <v>ACEPTADO</v>
      </c>
      <c r="J126" t="str">
        <v>PARANÁ</v>
      </c>
      <c r="K126" t="str">
        <v>S/M</v>
      </c>
      <c r="L126">
        <v>0</v>
      </c>
    </row>
    <row r="127" spans="2:12" x14ac:dyDescent="0.25">
      <c r="B127">
        <v>45062</v>
      </c>
      <c r="C127" t="str">
        <v xml:space="preserve">MENDOZA NORATA </v>
      </c>
      <c r="D127">
        <v>87</v>
      </c>
      <c r="E127" t="str">
        <v>MERLINI</v>
      </c>
      <c r="F127" t="str">
        <v xml:space="preserve">FX CADERA </v>
      </c>
      <c r="G127" t="str">
        <v xml:space="preserve">CLAVO GAMMA </v>
      </c>
      <c r="H127" t="str">
        <v xml:space="preserve">VILLALBA </v>
      </c>
      <c r="I127" t="str">
        <v>ACEPTADO</v>
      </c>
      <c r="J127" t="str">
        <v>PARANÁ</v>
      </c>
      <c r="K127" t="str">
        <v>PAMI</v>
      </c>
      <c r="L127">
        <v>0</v>
      </c>
    </row>
    <row r="128" spans="2:12" x14ac:dyDescent="0.25">
      <c r="B128">
        <v>45062</v>
      </c>
      <c r="C128" t="str">
        <v xml:space="preserve">GERMANO CARMELA </v>
      </c>
      <c r="D128">
        <v>92</v>
      </c>
      <c r="E128" t="str">
        <v>MERLINI</v>
      </c>
      <c r="F128" t="str">
        <v xml:space="preserve">FX CADERA </v>
      </c>
      <c r="G128" t="str">
        <v>CLAVO DHS</v>
      </c>
      <c r="H128" t="str">
        <v xml:space="preserve">VILLALBA </v>
      </c>
      <c r="I128" t="str">
        <v>ACEPTADO</v>
      </c>
      <c r="J128" t="str">
        <v>PARANÁ</v>
      </c>
      <c r="K128" t="str">
        <v>PAMI</v>
      </c>
      <c r="L128">
        <v>0</v>
      </c>
    </row>
    <row r="129" spans="2:12" x14ac:dyDescent="0.25">
      <c r="B129">
        <v>45062</v>
      </c>
      <c r="C129" t="str">
        <v>IRIARTE MAURO</v>
      </c>
      <c r="D129">
        <v>41</v>
      </c>
      <c r="E129" t="str">
        <v>MERLINI</v>
      </c>
      <c r="F129" t="str">
        <v>FX TOBILLO</v>
      </c>
      <c r="G129" t="str">
        <v xml:space="preserve">PLACA TERCIO TUBO </v>
      </c>
      <c r="H129">
        <v>0</v>
      </c>
      <c r="I129" t="str">
        <v>ACEPTADO</v>
      </c>
      <c r="J129" t="str">
        <v>PARANÁ</v>
      </c>
      <c r="K129" t="str">
        <v>S/M</v>
      </c>
      <c r="L129">
        <v>0</v>
      </c>
    </row>
    <row r="130" spans="2:12" x14ac:dyDescent="0.25">
      <c r="B130">
        <v>45064</v>
      </c>
      <c r="C130" t="str">
        <v xml:space="preserve">LOPEZ CLAUDIO </v>
      </c>
      <c r="D130">
        <v>49</v>
      </c>
      <c r="E130" t="str">
        <v>GARCIA VITOR</v>
      </c>
      <c r="F130" t="str">
        <v>NOA</v>
      </c>
      <c r="G130" t="str">
        <v>PTC NO CEMENT</v>
      </c>
      <c r="H130">
        <v>0</v>
      </c>
      <c r="I130" t="str">
        <v>ACEPTADO</v>
      </c>
      <c r="J130" t="str">
        <v>PARANÁ</v>
      </c>
      <c r="K130" t="str">
        <v>S/M</v>
      </c>
      <c r="L130">
        <v>0</v>
      </c>
    </row>
    <row r="131" spans="2:12" x14ac:dyDescent="0.25">
      <c r="B131">
        <v>45064</v>
      </c>
      <c r="C131" t="str">
        <v xml:space="preserve">OLIVETTI PRISCILA </v>
      </c>
      <c r="D131">
        <v>17</v>
      </c>
      <c r="E131">
        <v>0</v>
      </c>
      <c r="F131" t="str">
        <v>NOA</v>
      </c>
      <c r="G131" t="str">
        <v>PTC NO CEMENT</v>
      </c>
      <c r="H131">
        <v>0</v>
      </c>
      <c r="I131" t="str">
        <v>ACEPTADO</v>
      </c>
      <c r="J131" t="str">
        <v xml:space="preserve">CONCORDIA </v>
      </c>
      <c r="K131" t="str">
        <v>S/M</v>
      </c>
      <c r="L131">
        <v>0</v>
      </c>
    </row>
    <row r="132" spans="2:12" x14ac:dyDescent="0.25">
      <c r="B132">
        <v>45064</v>
      </c>
      <c r="C132" t="str">
        <v xml:space="preserve">TORRES ALBINA </v>
      </c>
      <c r="D132">
        <v>63</v>
      </c>
      <c r="E132" t="str">
        <v>STOPELLO</v>
      </c>
      <c r="F132" t="str">
        <v>GONARTROSIS</v>
      </c>
      <c r="G132" t="str">
        <v xml:space="preserve">ESPACIADOR </v>
      </c>
      <c r="H132" t="str">
        <v>VILLALBA</v>
      </c>
      <c r="I132" t="str">
        <v>ACEPTADO</v>
      </c>
      <c r="J132" t="str">
        <v>PARANÁ</v>
      </c>
      <c r="K132" t="str">
        <v>PAMI</v>
      </c>
      <c r="L132">
        <v>0</v>
      </c>
    </row>
    <row r="133" spans="2:12" x14ac:dyDescent="0.25">
      <c r="B133">
        <v>45064</v>
      </c>
      <c r="C133" t="str">
        <v xml:space="preserve">RIOS CRISPIN </v>
      </c>
      <c r="D133">
        <v>75</v>
      </c>
      <c r="E133" t="str">
        <v>YACOMO</v>
      </c>
      <c r="F133" t="str">
        <v>GONARTROSIS</v>
      </c>
      <c r="G133" t="str">
        <v xml:space="preserve">PTR PRIMARIA </v>
      </c>
      <c r="H133" t="str">
        <v>VILLALBA</v>
      </c>
      <c r="I133" t="str">
        <v>ACEPTADO</v>
      </c>
      <c r="J133" t="str">
        <v>PARANÁ</v>
      </c>
      <c r="K133" t="str">
        <v>PAMI</v>
      </c>
      <c r="L133">
        <v>0</v>
      </c>
    </row>
    <row r="134" spans="2:12" x14ac:dyDescent="0.25">
      <c r="B134">
        <v>45064</v>
      </c>
      <c r="C134" t="str">
        <v xml:space="preserve">ARRUA RAQUEL </v>
      </c>
      <c r="D134">
        <v>0</v>
      </c>
      <c r="E134" t="str">
        <v>CESAR MEYNET</v>
      </c>
      <c r="F134" t="str">
        <v>GONARTROSIS</v>
      </c>
      <c r="G134" t="str">
        <v xml:space="preserve">PTR ANATOMICA </v>
      </c>
      <c r="H134" t="str">
        <v>VILLALBA</v>
      </c>
      <c r="I134" t="str">
        <v>ACEPTADO</v>
      </c>
      <c r="J134" t="str">
        <v>PARANÁ</v>
      </c>
      <c r="K134" t="str">
        <v>PAMI</v>
      </c>
      <c r="L134">
        <v>0</v>
      </c>
    </row>
    <row r="135" spans="2:12" x14ac:dyDescent="0.25">
      <c r="B135">
        <v>45064</v>
      </c>
      <c r="C135" t="str">
        <v xml:space="preserve">MUÑOZ CLARA </v>
      </c>
      <c r="D135">
        <v>69</v>
      </c>
      <c r="E135" t="str">
        <v>YACOMO</v>
      </c>
      <c r="F135" t="str">
        <v>GONARTROSIS</v>
      </c>
      <c r="G135" t="str">
        <v xml:space="preserve">PTR ANATOMICA </v>
      </c>
      <c r="H135" t="str">
        <v xml:space="preserve">IP MAGNA </v>
      </c>
      <c r="I135" t="str">
        <v>ACEPTADO</v>
      </c>
      <c r="J135" t="str">
        <v>PARANÁ</v>
      </c>
      <c r="K135" t="str">
        <v>PAMI</v>
      </c>
      <c r="L135">
        <v>0</v>
      </c>
    </row>
    <row r="136" spans="2:12" x14ac:dyDescent="0.25">
      <c r="B136">
        <v>45064</v>
      </c>
      <c r="C136" t="str">
        <v xml:space="preserve">HOFSTETTER MARTA </v>
      </c>
      <c r="D136">
        <v>64</v>
      </c>
      <c r="E136" t="str">
        <v>MERLINI</v>
      </c>
      <c r="F136" t="str">
        <v>FX HUMERO</v>
      </c>
      <c r="G136" t="str">
        <v xml:space="preserve">CLAVO ENDOM. </v>
      </c>
      <c r="H136" t="str">
        <v>VILLALBA</v>
      </c>
      <c r="I136" t="str">
        <v>ACEPTADO</v>
      </c>
      <c r="J136" t="str">
        <v>PARANÁ</v>
      </c>
      <c r="K136" t="str">
        <v>PAMI</v>
      </c>
      <c r="L136">
        <v>0</v>
      </c>
    </row>
    <row r="137" spans="2:12" x14ac:dyDescent="0.25">
      <c r="B137">
        <v>45064</v>
      </c>
      <c r="C137" t="str">
        <v xml:space="preserve">FRIES RUBEN </v>
      </c>
      <c r="D137">
        <v>70</v>
      </c>
      <c r="E137" t="str">
        <v>GARCIA VITOR</v>
      </c>
      <c r="F137" t="str">
        <v xml:space="preserve">COXARTROSIS </v>
      </c>
      <c r="G137" t="str">
        <v xml:space="preserve">PTC HIBRIDA </v>
      </c>
      <c r="H137" t="str">
        <v xml:space="preserve">IP MAGNA </v>
      </c>
      <c r="I137" t="str">
        <v>ACEPTADO</v>
      </c>
      <c r="J137" t="str">
        <v>FEDERAL</v>
      </c>
      <c r="K137" t="str">
        <v>PAMI</v>
      </c>
      <c r="L137">
        <v>0</v>
      </c>
    </row>
    <row r="138" spans="2:12" x14ac:dyDescent="0.25">
      <c r="B138">
        <v>45064</v>
      </c>
      <c r="C138" t="str">
        <v xml:space="preserve">RODRIGUEZ ESTEBAN </v>
      </c>
      <c r="D138">
        <v>24</v>
      </c>
      <c r="E138" t="str">
        <v>YACOMO</v>
      </c>
      <c r="F138" t="str">
        <v>LCA</v>
      </c>
      <c r="G138" t="str">
        <v>TORN/BOTON CORT.</v>
      </c>
      <c r="H138">
        <v>0</v>
      </c>
      <c r="I138" t="str">
        <v>ACEPTADO</v>
      </c>
      <c r="J138" t="str">
        <v>PARANÁ</v>
      </c>
      <c r="K138" t="str">
        <v>S/M</v>
      </c>
      <c r="L138">
        <v>0</v>
      </c>
    </row>
    <row r="139" spans="2:12" x14ac:dyDescent="0.25">
      <c r="B139">
        <v>45064</v>
      </c>
      <c r="C139" t="str">
        <v xml:space="preserve">DIEDERLE LEONOR </v>
      </c>
      <c r="D139">
        <v>64</v>
      </c>
      <c r="E139" t="str">
        <v>MERLINI</v>
      </c>
      <c r="F139" t="str">
        <v>FX CODO</v>
      </c>
      <c r="G139" t="str">
        <v>PLACA LCP</v>
      </c>
      <c r="H139" t="str">
        <v xml:space="preserve">VILLALBA </v>
      </c>
      <c r="I139" t="str">
        <v>ACEPTADO</v>
      </c>
      <c r="J139" t="str">
        <v>PARANÁ</v>
      </c>
      <c r="K139" t="str">
        <v>PAMI</v>
      </c>
      <c r="L139">
        <v>0</v>
      </c>
    </row>
    <row r="140" spans="2:12" x14ac:dyDescent="0.25">
      <c r="B140">
        <v>45064</v>
      </c>
      <c r="C140" t="str">
        <v xml:space="preserve">ALMARA IRMA </v>
      </c>
      <c r="D140">
        <v>67</v>
      </c>
      <c r="E140" t="str">
        <v>SAPETTI</v>
      </c>
      <c r="F140" t="str">
        <v>GONARTROSIS</v>
      </c>
      <c r="G140" t="str">
        <v xml:space="preserve">PTR ANATOMICA </v>
      </c>
      <c r="H140" t="str">
        <v xml:space="preserve">IP MAGNA </v>
      </c>
      <c r="I140" t="str">
        <v>ACEPTADO</v>
      </c>
      <c r="J140" t="str">
        <v>PARANÁ</v>
      </c>
      <c r="K140" t="str">
        <v>PAMI</v>
      </c>
      <c r="L140">
        <v>0</v>
      </c>
    </row>
    <row r="141" spans="2:12" x14ac:dyDescent="0.25">
      <c r="B141">
        <v>45068</v>
      </c>
      <c r="C141" t="str">
        <v xml:space="preserve">OCAMPO NICOLAS </v>
      </c>
      <c r="D141">
        <v>22</v>
      </c>
      <c r="E141" t="str">
        <v>MERLINI</v>
      </c>
      <c r="F141" t="str">
        <v xml:space="preserve">FX MUÑECA </v>
      </c>
      <c r="G141" t="str">
        <v xml:space="preserve">PLACA DOBLE VOLAR </v>
      </c>
      <c r="H141">
        <v>0</v>
      </c>
      <c r="I141" t="str">
        <v>ACEPTADO</v>
      </c>
      <c r="J141" t="str">
        <v xml:space="preserve">HERNANDARIAS </v>
      </c>
      <c r="K141" t="str">
        <v>S/M</v>
      </c>
      <c r="L141">
        <v>0</v>
      </c>
    </row>
    <row r="142" spans="2:12" x14ac:dyDescent="0.25">
      <c r="B142">
        <v>45069</v>
      </c>
      <c r="C142" t="str">
        <v>SCHONFELD MARIA LUISA</v>
      </c>
      <c r="D142">
        <v>58</v>
      </c>
      <c r="E142" t="str">
        <v>MERLINI</v>
      </c>
      <c r="F142" t="str">
        <v>FX  MTC</v>
      </c>
      <c r="G142" t="str">
        <v>PLACA LCP</v>
      </c>
      <c r="H142">
        <v>0</v>
      </c>
      <c r="I142" t="str">
        <v>INICIADO</v>
      </c>
      <c r="J142" t="str">
        <v>PARANÁ</v>
      </c>
      <c r="K142" t="str">
        <v>S/M</v>
      </c>
      <c r="L142">
        <v>0</v>
      </c>
    </row>
    <row r="143" spans="2:12" x14ac:dyDescent="0.25">
      <c r="B143">
        <v>45070</v>
      </c>
      <c r="C143" t="str">
        <v xml:space="preserve">LUNA JOSE </v>
      </c>
      <c r="D143">
        <v>58</v>
      </c>
      <c r="E143" t="str">
        <v>SAPETTI</v>
      </c>
      <c r="F143" t="str">
        <v xml:space="preserve">LUX REV CADERA </v>
      </c>
      <c r="G143" t="str">
        <v xml:space="preserve">ESPACIADOR </v>
      </c>
      <c r="H143">
        <v>0</v>
      </c>
      <c r="I143" t="str">
        <v>ACEPTADO</v>
      </c>
      <c r="J143" t="str">
        <v>PARANÁ</v>
      </c>
      <c r="K143" t="str">
        <v>S/M</v>
      </c>
      <c r="L143">
        <v>0</v>
      </c>
    </row>
    <row r="144" spans="2:12" x14ac:dyDescent="0.25">
      <c r="B144">
        <v>45070</v>
      </c>
      <c r="C144" t="str">
        <v>LACOMBE SANTIAGO</v>
      </c>
      <c r="D144">
        <v>16</v>
      </c>
      <c r="E144" t="str">
        <v xml:space="preserve">HERMIDA </v>
      </c>
      <c r="F144" t="str">
        <v>LCA</v>
      </c>
      <c r="G144" t="str">
        <v>TORN/BOTON CORT.</v>
      </c>
      <c r="H144">
        <v>0</v>
      </c>
      <c r="I144" t="str">
        <v>ACEPTADO</v>
      </c>
      <c r="J144" t="str">
        <v xml:space="preserve">LA PAZ </v>
      </c>
      <c r="K144" t="str">
        <v>S/M</v>
      </c>
      <c r="L144">
        <v>0</v>
      </c>
    </row>
    <row r="145" spans="2:12" x14ac:dyDescent="0.25">
      <c r="B145">
        <v>45070</v>
      </c>
      <c r="C145" t="str">
        <v xml:space="preserve">MATTEODA HECTOR </v>
      </c>
      <c r="D145">
        <v>75</v>
      </c>
      <c r="E145" t="str">
        <v>SAPETTI</v>
      </c>
      <c r="F145" t="str">
        <v>GONARTROSIS</v>
      </c>
      <c r="G145" t="str">
        <v xml:space="preserve">PTR ANATOMICA </v>
      </c>
      <c r="H145" t="str">
        <v>VILLALVA</v>
      </c>
      <c r="I145" t="str">
        <v>ACEPTADO</v>
      </c>
      <c r="J145" t="str">
        <v>PARANÁ</v>
      </c>
      <c r="K145" t="str">
        <v>PAMI</v>
      </c>
      <c r="L145">
        <v>0</v>
      </c>
    </row>
    <row r="146" spans="2:12" x14ac:dyDescent="0.25">
      <c r="B146">
        <v>45070</v>
      </c>
      <c r="C146" t="str">
        <v>CABAÑA MANUEL</v>
      </c>
      <c r="D146">
        <v>71</v>
      </c>
      <c r="E146" t="str">
        <v>VENTURI</v>
      </c>
      <c r="F146" t="str">
        <v xml:space="preserve">LES MANG ROT </v>
      </c>
      <c r="G146" t="str">
        <v xml:space="preserve">ARPONES </v>
      </c>
      <c r="H146" t="str">
        <v xml:space="preserve">VILLALBA </v>
      </c>
      <c r="I146" t="str">
        <v>ACEPTADO</v>
      </c>
      <c r="J146" t="str">
        <v>PARANÁ</v>
      </c>
      <c r="K146" t="str">
        <v>PAMI</v>
      </c>
      <c r="L146">
        <v>0</v>
      </c>
    </row>
    <row r="147" spans="2:12" x14ac:dyDescent="0.25">
      <c r="B147">
        <v>45070</v>
      </c>
      <c r="C147" t="str">
        <v xml:space="preserve">ARANGUIS BLANCA </v>
      </c>
      <c r="D147">
        <v>62</v>
      </c>
      <c r="E147" t="str">
        <v>VENTURI</v>
      </c>
      <c r="F147" t="str">
        <v>GONARTROSIS</v>
      </c>
      <c r="G147" t="str">
        <v xml:space="preserve">PTR ANATOMICA </v>
      </c>
      <c r="H147" t="str">
        <v xml:space="preserve">IP MAGNA </v>
      </c>
      <c r="I147" t="str">
        <v>INICIADO</v>
      </c>
      <c r="J147" t="str">
        <v>PARANÁ</v>
      </c>
      <c r="K147" t="str">
        <v>PAMI</v>
      </c>
      <c r="L147">
        <v>0</v>
      </c>
    </row>
    <row r="148" spans="2:12" x14ac:dyDescent="0.25">
      <c r="B148">
        <v>45075</v>
      </c>
      <c r="C148" t="str">
        <v xml:space="preserve">AMAYA MARIA </v>
      </c>
      <c r="D148">
        <v>32</v>
      </c>
      <c r="E148" t="str">
        <v>MERLINI</v>
      </c>
      <c r="F148" t="str">
        <v>FX CODO</v>
      </c>
      <c r="G148" t="str">
        <v xml:space="preserve">PLACA DOBLE VOLAR </v>
      </c>
      <c r="H148">
        <v>0</v>
      </c>
      <c r="I148" t="str">
        <v>INICIADO</v>
      </c>
      <c r="J148" t="str">
        <v>PARANÁ</v>
      </c>
      <c r="K148" t="str">
        <v>S/M</v>
      </c>
      <c r="L148">
        <v>0</v>
      </c>
    </row>
    <row r="149" spans="2:12" x14ac:dyDescent="0.25">
      <c r="B149">
        <v>45075</v>
      </c>
      <c r="C149" t="str">
        <v xml:space="preserve">GOMEZ AGUSTIN </v>
      </c>
      <c r="D149">
        <v>25</v>
      </c>
      <c r="E149" t="str">
        <v>THOMPSOM</v>
      </c>
      <c r="F149" t="str">
        <v xml:space="preserve">FX CLAVICULA </v>
      </c>
      <c r="G149" t="str">
        <v xml:space="preserve">PLACA A NATOM. BLOQ, </v>
      </c>
      <c r="H149">
        <v>0</v>
      </c>
      <c r="I149" t="str">
        <v>ACEPTADO</v>
      </c>
      <c r="J149" t="str">
        <v>BOVRIL</v>
      </c>
      <c r="K149" t="str">
        <v>S/M</v>
      </c>
      <c r="L149">
        <v>3438444965</v>
      </c>
    </row>
    <row r="150" spans="2:12" x14ac:dyDescent="0.25">
      <c r="B150">
        <v>45075</v>
      </c>
      <c r="C150" t="str">
        <v xml:space="preserve">GAMBINO FRANCISCO </v>
      </c>
      <c r="D150">
        <v>66</v>
      </c>
      <c r="E150" t="str">
        <v>MERLINI</v>
      </c>
      <c r="F150" t="str">
        <v>FX TOBILLO</v>
      </c>
      <c r="G150" t="str">
        <v>PLACA TER.TUBO</v>
      </c>
      <c r="H150" t="str">
        <v>VILLALBA</v>
      </c>
      <c r="I150" t="str">
        <v>ACEPTADO</v>
      </c>
      <c r="J150" t="str">
        <v>PARANÁ</v>
      </c>
      <c r="K150" t="str">
        <v>PAMI</v>
      </c>
      <c r="L150">
        <v>0</v>
      </c>
    </row>
    <row r="151" spans="2:12" x14ac:dyDescent="0.25">
      <c r="B151">
        <v>45075</v>
      </c>
      <c r="C151" t="str">
        <v xml:space="preserve">ROCCOSALVO NOEMI </v>
      </c>
      <c r="D151">
        <v>83</v>
      </c>
      <c r="E151" t="str">
        <v>MERLINI</v>
      </c>
      <c r="F151" t="str">
        <v xml:space="preserve">FX CADERA </v>
      </c>
      <c r="G151" t="str">
        <v xml:space="preserve">CLAVO GAMMA </v>
      </c>
      <c r="H151" t="str">
        <v xml:space="preserve">VILLALBA </v>
      </c>
      <c r="I151" t="str">
        <v>ACEPTADO</v>
      </c>
      <c r="J151" t="str">
        <v>PARANÁ</v>
      </c>
      <c r="K151" t="str">
        <v>PAMI</v>
      </c>
      <c r="L151">
        <v>0</v>
      </c>
    </row>
    <row r="152" spans="2:12" x14ac:dyDescent="0.25">
      <c r="B152">
        <v>45075</v>
      </c>
      <c r="C152" t="str">
        <v>LUQUEZ MARIA</v>
      </c>
      <c r="D152">
        <v>70</v>
      </c>
      <c r="E152" t="str">
        <v>MERLINI</v>
      </c>
      <c r="F152" t="str">
        <v xml:space="preserve">FX CADERA </v>
      </c>
      <c r="G152" t="str">
        <v>CLAVO DHS</v>
      </c>
      <c r="H152" t="str">
        <v>VILLALBA</v>
      </c>
      <c r="I152" t="str">
        <v>ACEPTADO</v>
      </c>
      <c r="J152" t="str">
        <v>PARANÁ</v>
      </c>
      <c r="K152" t="str">
        <v>PAMI</v>
      </c>
      <c r="L152">
        <v>0</v>
      </c>
    </row>
    <row r="153" spans="2:12" x14ac:dyDescent="0.25">
      <c r="B153">
        <v>45075</v>
      </c>
      <c r="C153" t="str">
        <v>TESSARINI NORMA</v>
      </c>
      <c r="D153">
        <v>93</v>
      </c>
      <c r="E153" t="str">
        <v>MERLINI</v>
      </c>
      <c r="F153" t="str">
        <v xml:space="preserve">FX CAEDRA </v>
      </c>
      <c r="G153" t="str">
        <v>CLAVODHS</v>
      </c>
      <c r="H153" t="str">
        <v>VILLALBA</v>
      </c>
      <c r="I153" t="str">
        <v>INICIADO</v>
      </c>
      <c r="J153" t="str">
        <v>PARANÁ</v>
      </c>
      <c r="K153" t="str">
        <v>PAMI</v>
      </c>
      <c r="L153">
        <v>0</v>
      </c>
    </row>
    <row r="154" spans="2:12" x14ac:dyDescent="0.25">
      <c r="B154">
        <v>45075</v>
      </c>
      <c r="C154" t="str">
        <v>AGUILAR ANTONIO</v>
      </c>
      <c r="D154">
        <v>63</v>
      </c>
      <c r="E154" t="str">
        <v>GREGORUTTI</v>
      </c>
      <c r="F154" t="str">
        <v>GONARTROSIS</v>
      </c>
      <c r="G154" t="str">
        <v xml:space="preserve">PTR ANATOMICA </v>
      </c>
      <c r="H154">
        <v>0</v>
      </c>
      <c r="I154" t="str">
        <v>ACEPTADO</v>
      </c>
      <c r="J154" t="str">
        <v>CRESPO</v>
      </c>
      <c r="K154" t="str">
        <v>S/M</v>
      </c>
      <c r="L154">
        <v>0</v>
      </c>
    </row>
    <row r="155" spans="2:12" x14ac:dyDescent="0.25">
      <c r="B155">
        <v>45075</v>
      </c>
      <c r="C155" t="str">
        <v xml:space="preserve">PASUTTI JUAN </v>
      </c>
      <c r="D155">
        <v>76</v>
      </c>
      <c r="E155" t="str">
        <v>SAPETTI</v>
      </c>
      <c r="F155" t="str">
        <v>GONARTROSIS</v>
      </c>
      <c r="G155" t="str">
        <v xml:space="preserve">PTR ANATOMICA </v>
      </c>
      <c r="H155" t="str">
        <v xml:space="preserve">VILLALBA </v>
      </c>
      <c r="I155" t="str">
        <v>ACEPTADO</v>
      </c>
      <c r="J155" t="str">
        <v>PARANÁ</v>
      </c>
      <c r="K155" t="str">
        <v>PAMI</v>
      </c>
      <c r="L155">
        <v>0</v>
      </c>
    </row>
    <row r="156" spans="2:12" x14ac:dyDescent="0.25">
      <c r="B156">
        <v>45075</v>
      </c>
      <c r="C156" t="str">
        <v>LUNA FEDERICO</v>
      </c>
      <c r="D156">
        <v>34</v>
      </c>
      <c r="E156" t="str">
        <v>MERLINI</v>
      </c>
      <c r="F156" t="str">
        <v>FX HUMERO</v>
      </c>
      <c r="G156" t="str">
        <v>PLACA PHILOS</v>
      </c>
      <c r="H156">
        <v>0</v>
      </c>
      <c r="I156" t="str">
        <v>INICIADO</v>
      </c>
      <c r="J156" t="str">
        <v>PARANÁ</v>
      </c>
      <c r="K156" t="str">
        <v>S/M</v>
      </c>
      <c r="L156">
        <v>0</v>
      </c>
    </row>
    <row r="157" spans="2:12" x14ac:dyDescent="0.25">
      <c r="B157">
        <v>45076</v>
      </c>
      <c r="C157" t="str">
        <v xml:space="preserve">TROITIÑO MARGARITA </v>
      </c>
      <c r="D157">
        <v>82</v>
      </c>
      <c r="E157" t="str">
        <v>MERLINI</v>
      </c>
      <c r="F157" t="str">
        <v xml:space="preserve">FX CADERA </v>
      </c>
      <c r="G157" t="str">
        <v xml:space="preserve">PTC CEMENT/COTILO DOBLE </v>
      </c>
      <c r="H157" t="str">
        <v>VILLALBA</v>
      </c>
      <c r="I157" t="str">
        <v>ACEPTADO</v>
      </c>
      <c r="J157" t="str">
        <v>PARANÁ</v>
      </c>
      <c r="K157" t="str">
        <v>PAMI</v>
      </c>
      <c r="L157">
        <v>0</v>
      </c>
    </row>
    <row r="158" spans="2:12" x14ac:dyDescent="0.25">
      <c r="B158">
        <v>45076</v>
      </c>
      <c r="C158" t="str">
        <v>CABALLERO JOSE CARLOS</v>
      </c>
      <c r="D158">
        <v>83</v>
      </c>
      <c r="E158" t="str">
        <v>PELEGRINI</v>
      </c>
      <c r="F158" t="str">
        <v xml:space="preserve">COXARTROSIS </v>
      </c>
      <c r="G158" t="str">
        <v xml:space="preserve">PTC HIBRIDA </v>
      </c>
      <c r="H158" t="str">
        <v xml:space="preserve">VILLALBA </v>
      </c>
      <c r="I158" t="str">
        <v>ACEPTADO</v>
      </c>
      <c r="J158" t="str">
        <v>PARANÁ</v>
      </c>
      <c r="K158" t="str">
        <v>PAMI</v>
      </c>
      <c r="L158">
        <v>0</v>
      </c>
    </row>
    <row r="159" spans="2:12" x14ac:dyDescent="0.25">
      <c r="B159">
        <v>45076</v>
      </c>
      <c r="C159" t="str">
        <v>VIGGIANO SERGIO</v>
      </c>
      <c r="D159">
        <v>50</v>
      </c>
      <c r="E159" t="str">
        <v>SAPETTI</v>
      </c>
      <c r="F159">
        <v>0</v>
      </c>
      <c r="G159" t="str">
        <v xml:space="preserve">PTR ANATOMICA </v>
      </c>
      <c r="H159">
        <v>0</v>
      </c>
      <c r="I159" t="str">
        <v>ACEPTADO</v>
      </c>
      <c r="J159" t="str">
        <v>PARANÁ</v>
      </c>
      <c r="K159" t="str">
        <v>S/M</v>
      </c>
      <c r="L159">
        <v>0</v>
      </c>
    </row>
    <row r="160" spans="2:12" x14ac:dyDescent="0.25">
      <c r="B160">
        <v>45078</v>
      </c>
      <c r="C160" t="str">
        <v>GARCILAO ERNESTO</v>
      </c>
      <c r="D160">
        <v>78</v>
      </c>
      <c r="E160" t="str">
        <v>GARCIA VITOR</v>
      </c>
      <c r="F160" t="str">
        <v>GENU VARO</v>
      </c>
      <c r="G160" t="str">
        <v>PTR ANATMICA  MOD</v>
      </c>
      <c r="H160" t="str">
        <v xml:space="preserve">VILLALBA </v>
      </c>
      <c r="I160" t="str">
        <v>ACEPTADO</v>
      </c>
      <c r="J160" t="str">
        <v>PARANÁ</v>
      </c>
      <c r="K160" t="str">
        <v>PAMI</v>
      </c>
      <c r="L160">
        <v>0</v>
      </c>
    </row>
    <row r="161" spans="2:12" x14ac:dyDescent="0.25">
      <c r="B161">
        <v>45078</v>
      </c>
      <c r="C161" t="str">
        <v xml:space="preserve">FANGI SUSANA </v>
      </c>
      <c r="D161">
        <v>63</v>
      </c>
      <c r="E161" t="str">
        <v>GARCIA VITOR</v>
      </c>
      <c r="F161" t="str">
        <v>COXARTROSIS</v>
      </c>
      <c r="G161" t="str">
        <v>PTC ANATOMICA MOD</v>
      </c>
      <c r="H161" t="str">
        <v xml:space="preserve">IP MAGNA </v>
      </c>
      <c r="I161" t="str">
        <v>ACEPTADO</v>
      </c>
      <c r="J161" t="str">
        <v>PARANÁ</v>
      </c>
      <c r="K161" t="str">
        <v>PAMI</v>
      </c>
      <c r="L161">
        <v>0</v>
      </c>
    </row>
    <row r="162" spans="2:12" x14ac:dyDescent="0.25">
      <c r="B162">
        <v>45079</v>
      </c>
      <c r="C162" t="str">
        <v xml:space="preserve">GERSTNER MARIA </v>
      </c>
      <c r="D162">
        <v>89</v>
      </c>
      <c r="E162" t="str">
        <v>MERLINI</v>
      </c>
      <c r="F162" t="str">
        <v>FX HUMERO</v>
      </c>
      <c r="G162" t="str">
        <v xml:space="preserve">PLACA PHILOS </v>
      </c>
      <c r="H162" t="str">
        <v xml:space="preserve">VILLALBA </v>
      </c>
      <c r="I162" t="str">
        <v>ACEPTADO</v>
      </c>
      <c r="J162" t="str">
        <v>PARANÁ</v>
      </c>
      <c r="K162" t="str">
        <v>PAMI</v>
      </c>
      <c r="L162">
        <v>3436119888</v>
      </c>
    </row>
    <row r="163" spans="2:12" x14ac:dyDescent="0.25">
      <c r="B163">
        <v>45079</v>
      </c>
      <c r="C163" t="str">
        <v xml:space="preserve">CURAC CEFERINA </v>
      </c>
      <c r="D163">
        <v>87</v>
      </c>
      <c r="E163" t="str">
        <v>MERLINI</v>
      </c>
      <c r="F163" t="str">
        <v xml:space="preserve">FX CADERA </v>
      </c>
      <c r="G163" t="str">
        <v>CLAVO GAMMA</v>
      </c>
      <c r="H163" t="str">
        <v xml:space="preserve">VILLALBA </v>
      </c>
      <c r="I163" t="str">
        <v>ACEPTADO</v>
      </c>
      <c r="J163" t="str">
        <v>PARANÁ</v>
      </c>
      <c r="K163" t="str">
        <v>PAMI</v>
      </c>
      <c r="L163">
        <v>0</v>
      </c>
    </row>
    <row r="164" spans="2:12" x14ac:dyDescent="0.25">
      <c r="B164">
        <v>45082</v>
      </c>
      <c r="C164" t="str">
        <v xml:space="preserve">DUARTE BLANCA </v>
      </c>
      <c r="D164">
        <v>72</v>
      </c>
      <c r="E164" t="str">
        <v>MERLINI</v>
      </c>
      <c r="F164" t="str">
        <v>FX HUMERO</v>
      </c>
      <c r="G164" t="str">
        <v xml:space="preserve">PLACA PHILOS </v>
      </c>
      <c r="H164" t="str">
        <v xml:space="preserve">VILLALBA </v>
      </c>
      <c r="I164" t="str">
        <v>ACEPTADO</v>
      </c>
      <c r="J164" t="str">
        <v>PARANÁ</v>
      </c>
      <c r="K164" t="str">
        <v>PAMI</v>
      </c>
      <c r="L164">
        <v>0</v>
      </c>
    </row>
    <row r="165" spans="2:12" x14ac:dyDescent="0.25">
      <c r="B165">
        <v>45083</v>
      </c>
      <c r="C165" t="str">
        <v>PALACIOS MIGUEL</v>
      </c>
      <c r="D165">
        <v>72</v>
      </c>
      <c r="E165" t="str">
        <v>MERLINI</v>
      </c>
      <c r="F165" t="str">
        <v>FX CODO</v>
      </c>
      <c r="G165" t="str">
        <v xml:space="preserve">PLACA RECONST </v>
      </c>
      <c r="H165" t="str">
        <v xml:space="preserve">VILLALBA </v>
      </c>
      <c r="I165" t="str">
        <v>ACEPTADO</v>
      </c>
      <c r="J165" t="str">
        <v>PARANÁ</v>
      </c>
      <c r="K165" t="str">
        <v>PAMI</v>
      </c>
      <c r="L165">
        <v>0</v>
      </c>
    </row>
    <row r="166" spans="2:12" x14ac:dyDescent="0.25">
      <c r="B166">
        <v>45085</v>
      </c>
      <c r="C166" t="str">
        <v xml:space="preserve">LUNA MAURICIA </v>
      </c>
      <c r="D166">
        <v>75</v>
      </c>
      <c r="E166" t="str">
        <v>YACOMO</v>
      </c>
      <c r="F166" t="str">
        <v xml:space="preserve">FX CADERA </v>
      </c>
      <c r="G166" t="str">
        <v>CLAVO GAMMA</v>
      </c>
      <c r="H166" t="str">
        <v xml:space="preserve">VILLALBA </v>
      </c>
      <c r="I166" t="str">
        <v>ACEPTADO</v>
      </c>
      <c r="J166" t="str">
        <v>PARANÁ</v>
      </c>
      <c r="K166" t="str">
        <v>PAMI</v>
      </c>
      <c r="L166">
        <v>0</v>
      </c>
    </row>
    <row r="167" spans="2:12" x14ac:dyDescent="0.25">
      <c r="B167">
        <v>45085</v>
      </c>
      <c r="C167" t="str">
        <v>GOMEZ MARIO</v>
      </c>
      <c r="D167">
        <v>67</v>
      </c>
      <c r="E167" t="str">
        <v>MERLINI</v>
      </c>
      <c r="F167" t="str">
        <v xml:space="preserve">FX MUÑECA </v>
      </c>
      <c r="G167" t="str">
        <v xml:space="preserve">PLACA  DOBLE HILERA DIS </v>
      </c>
      <c r="H167" t="str">
        <v xml:space="preserve">VILLALBA </v>
      </c>
      <c r="I167" t="str">
        <v>ACEPTADO</v>
      </c>
      <c r="J167" t="str">
        <v>PARANÁ</v>
      </c>
      <c r="K167" t="str">
        <v>PAMI</v>
      </c>
      <c r="L167">
        <v>0</v>
      </c>
    </row>
    <row r="168" spans="2:12" x14ac:dyDescent="0.25">
      <c r="B168">
        <v>45085</v>
      </c>
      <c r="C168" t="str">
        <v>BERTOLI ALFREDO</v>
      </c>
      <c r="D168">
        <v>52</v>
      </c>
      <c r="E168" t="str">
        <v>GARCIA VITOR</v>
      </c>
      <c r="F168" t="str">
        <v>NECROSIS</v>
      </c>
      <c r="G168" t="str">
        <v>PTC NO CEMENTADA</v>
      </c>
      <c r="H168" t="str">
        <v xml:space="preserve">IP MAGNA </v>
      </c>
      <c r="I168" t="str">
        <v>ACEPTADO</v>
      </c>
      <c r="J168" t="str">
        <v>PARANÁ</v>
      </c>
      <c r="K168" t="str">
        <v>PAMI</v>
      </c>
      <c r="L168">
        <v>3435114763</v>
      </c>
    </row>
    <row r="169" spans="2:12" x14ac:dyDescent="0.25">
      <c r="B169">
        <v>45086</v>
      </c>
      <c r="C169" t="str">
        <v xml:space="preserve">RICKERT CATALINA </v>
      </c>
      <c r="D169">
        <v>89</v>
      </c>
      <c r="E169" t="str">
        <v>MERLINI</v>
      </c>
      <c r="F169" t="str">
        <v xml:space="preserve">FX CADERA </v>
      </c>
      <c r="G169" t="str">
        <v>TORN. CANUL</v>
      </c>
      <c r="H169" t="str">
        <v xml:space="preserve">VILLALBA </v>
      </c>
      <c r="I169" t="str">
        <v>ACEPTADO</v>
      </c>
      <c r="J169" t="str">
        <v>PARANÁ</v>
      </c>
      <c r="K169" t="str">
        <v>PAMI</v>
      </c>
      <c r="L169">
        <v>0</v>
      </c>
    </row>
    <row r="170" spans="2:12" x14ac:dyDescent="0.25">
      <c r="B170">
        <v>45086</v>
      </c>
      <c r="C170" t="str">
        <v xml:space="preserve">BERUTTI SILVIA </v>
      </c>
      <c r="D170">
        <v>66</v>
      </c>
      <c r="E170" t="str">
        <v>SAPETTI</v>
      </c>
      <c r="F170" t="str">
        <v xml:space="preserve">INFCC.PROTESICA </v>
      </c>
      <c r="G170" t="str">
        <v xml:space="preserve">TUTOR MONOPL. </v>
      </c>
      <c r="H170" t="str">
        <v xml:space="preserve">VILLALBA </v>
      </c>
      <c r="I170" t="str">
        <v>ACEPTADO</v>
      </c>
      <c r="J170" t="str">
        <v>PARANÁ</v>
      </c>
      <c r="K170" t="str">
        <v>PAMI</v>
      </c>
      <c r="L170">
        <v>0</v>
      </c>
    </row>
    <row r="171" spans="2:12" x14ac:dyDescent="0.25">
      <c r="B171">
        <v>45086</v>
      </c>
      <c r="C171" t="str">
        <v>BRAVO MIRTA RAQUEL</v>
      </c>
      <c r="D171">
        <v>0</v>
      </c>
      <c r="E171" t="str">
        <v>SAPETTI</v>
      </c>
      <c r="F171" t="str">
        <v>GONARTROSIS</v>
      </c>
      <c r="G171" t="str">
        <v>RTR PRIMARIO</v>
      </c>
      <c r="H171" t="str">
        <v xml:space="preserve">IP MAGNA </v>
      </c>
      <c r="I171" t="str">
        <v>ACEPTADO</v>
      </c>
      <c r="J171" t="str">
        <v>PARANÁ</v>
      </c>
      <c r="K171" t="str">
        <v>PAMI</v>
      </c>
      <c r="L171">
        <v>0</v>
      </c>
    </row>
    <row r="172" spans="2:12" x14ac:dyDescent="0.25">
      <c r="B172">
        <v>45089</v>
      </c>
      <c r="C172" t="str">
        <v xml:space="preserve">CABAÑA ANTONIO </v>
      </c>
      <c r="D172">
        <v>68</v>
      </c>
      <c r="E172" t="str">
        <v>CATRIEL GODOY</v>
      </c>
      <c r="F172" t="str">
        <v>COXALGIA</v>
      </c>
      <c r="G172" t="str">
        <v>PTC NO CEMENTADA</v>
      </c>
      <c r="H172" t="str">
        <v xml:space="preserve">IP MAGNA </v>
      </c>
      <c r="I172" t="str">
        <v>ACEPTADO</v>
      </c>
      <c r="J172" t="str">
        <v>PARANÁ</v>
      </c>
      <c r="K172" t="str">
        <v>PAMI</v>
      </c>
      <c r="L172">
        <v>0</v>
      </c>
    </row>
    <row r="173" spans="2:12" x14ac:dyDescent="0.25">
      <c r="B173">
        <v>45089</v>
      </c>
      <c r="C173" t="str">
        <v xml:space="preserve">CUELLO MIGUEL </v>
      </c>
      <c r="D173">
        <v>66</v>
      </c>
      <c r="E173" t="str">
        <v>GARCIA VITOR</v>
      </c>
      <c r="F173" t="str">
        <v>COXALGIA</v>
      </c>
      <c r="G173" t="str">
        <v xml:space="preserve">PTC REV/COTILLO DOBLE </v>
      </c>
      <c r="H173" t="str">
        <v xml:space="preserve">IP MAGNA </v>
      </c>
      <c r="I173" t="str">
        <v>ACEPTADO</v>
      </c>
      <c r="J173" t="str">
        <v>PARANÁ</v>
      </c>
      <c r="K173" t="str">
        <v>PAMI</v>
      </c>
      <c r="L173">
        <v>0</v>
      </c>
    </row>
    <row r="174" spans="2:12" x14ac:dyDescent="0.25">
      <c r="B174">
        <v>45089</v>
      </c>
      <c r="C174" t="str">
        <v>OLMOS NICOLASA</v>
      </c>
      <c r="D174">
        <v>84</v>
      </c>
      <c r="E174" t="str">
        <v>UCEDO</v>
      </c>
      <c r="F174" t="str">
        <v xml:space="preserve">FX CADERA </v>
      </c>
      <c r="G174" t="str">
        <v>PC CEMENT /COTILO DOBLE</v>
      </c>
      <c r="H174" t="str">
        <v xml:space="preserve">VILLALBA </v>
      </c>
      <c r="I174" t="str">
        <v>ACEPTADO</v>
      </c>
      <c r="J174" t="str">
        <v>PARANÁ</v>
      </c>
      <c r="K174" t="str">
        <v>PAMI</v>
      </c>
      <c r="L174">
        <v>0</v>
      </c>
    </row>
    <row r="175" spans="2:12" x14ac:dyDescent="0.25">
      <c r="B175">
        <v>45089</v>
      </c>
      <c r="C175" t="str">
        <v xml:space="preserve">MEDINA MARIA CRISTINA </v>
      </c>
      <c r="D175">
        <v>67</v>
      </c>
      <c r="E175" t="str">
        <v>CESAR MEYNET</v>
      </c>
      <c r="F175" t="str">
        <v>ARTROSIS ROD</v>
      </c>
      <c r="G175" t="str">
        <v>PTR ANATMICA  MOD</v>
      </c>
      <c r="H175" t="str">
        <v xml:space="preserve">IP MAGNA </v>
      </c>
      <c r="I175" t="str">
        <v>ACEPTADO</v>
      </c>
      <c r="J175" t="str">
        <v>PARANÁ</v>
      </c>
      <c r="K175" t="str">
        <v>PAMI</v>
      </c>
      <c r="L175">
        <v>0</v>
      </c>
    </row>
    <row r="176" spans="2:12" x14ac:dyDescent="0.25">
      <c r="B176">
        <v>45090</v>
      </c>
      <c r="C176" t="str">
        <v xml:space="preserve">RIVASSEAU RAUL </v>
      </c>
      <c r="D176">
        <v>75</v>
      </c>
      <c r="E176" t="str">
        <v>UCEDO</v>
      </c>
      <c r="F176" t="str">
        <v>ARTROSIS TOB</v>
      </c>
      <c r="G176" t="str">
        <v>TORN. CANUL</v>
      </c>
      <c r="H176" t="str">
        <v xml:space="preserve">VILLALBA </v>
      </c>
      <c r="I176" t="str">
        <v>ACEPTADO</v>
      </c>
      <c r="J176" t="str">
        <v>PARANÁ</v>
      </c>
      <c r="K176" t="str">
        <v>PAMI</v>
      </c>
      <c r="L176">
        <v>154711411</v>
      </c>
    </row>
    <row r="177" spans="2:12" x14ac:dyDescent="0.25">
      <c r="B177">
        <v>45090</v>
      </c>
      <c r="C177" t="str">
        <v xml:space="preserve">AMARILLO BEATRIZ </v>
      </c>
      <c r="D177">
        <v>47</v>
      </c>
      <c r="E177" t="str">
        <v xml:space="preserve">JACOB </v>
      </c>
      <c r="F177" t="str">
        <v xml:space="preserve">LUMBOCIATALGIA </v>
      </c>
      <c r="G177" t="str">
        <v>BARRAS/TORN/CAGE/DRILL</v>
      </c>
      <c r="H177">
        <v>0</v>
      </c>
      <c r="I177" t="str">
        <v xml:space="preserve">INICIADO </v>
      </c>
      <c r="J177" t="str">
        <v xml:space="preserve">NOGOYA </v>
      </c>
      <c r="K177" t="str">
        <v>S/M</v>
      </c>
      <c r="L177">
        <v>3435612939</v>
      </c>
    </row>
    <row r="178" spans="2:12" x14ac:dyDescent="0.25">
      <c r="B178">
        <v>45090</v>
      </c>
      <c r="C178" t="str">
        <v xml:space="preserve">STRACK ZUNILDA </v>
      </c>
      <c r="D178">
        <v>73</v>
      </c>
      <c r="E178" t="str">
        <v xml:space="preserve">HERMIDA </v>
      </c>
      <c r="F178" t="str">
        <v xml:space="preserve">ARTROSIS ROD </v>
      </c>
      <c r="G178" t="str">
        <v xml:space="preserve">RPP RODILLA IZQ </v>
      </c>
      <c r="H178" t="str">
        <v xml:space="preserve">VILLALBA </v>
      </c>
      <c r="I178" t="str">
        <v>ACEPTADO</v>
      </c>
      <c r="J178" t="str">
        <v>PARANÁ</v>
      </c>
      <c r="K178" t="str">
        <v>PAMI</v>
      </c>
      <c r="L178">
        <v>155446668</v>
      </c>
    </row>
    <row r="179" spans="2:12" x14ac:dyDescent="0.25">
      <c r="B179">
        <v>45092</v>
      </c>
      <c r="C179" t="str">
        <v xml:space="preserve">FERNANDEZ MARTA </v>
      </c>
      <c r="D179">
        <v>53</v>
      </c>
      <c r="E179" t="str">
        <v>GARCIA VITOR</v>
      </c>
      <c r="F179" t="str">
        <v>FALLA PTRT.</v>
      </c>
      <c r="G179" t="str">
        <v>CLAVO TIPO MULLER</v>
      </c>
      <c r="H179">
        <v>0</v>
      </c>
      <c r="I179" t="str">
        <v xml:space="preserve">INICIADO </v>
      </c>
      <c r="J179" t="str">
        <v>CRESPO</v>
      </c>
      <c r="K179" t="str">
        <v>S/M</v>
      </c>
      <c r="L179">
        <v>3434672320</v>
      </c>
    </row>
    <row r="180" spans="2:12" x14ac:dyDescent="0.25">
      <c r="B180">
        <v>45099</v>
      </c>
      <c r="C180" t="str">
        <v>OCAMPO PERDO</v>
      </c>
      <c r="D180">
        <v>71</v>
      </c>
      <c r="E180" t="str">
        <v>YACOMO</v>
      </c>
      <c r="F180" t="str">
        <v>GENU VARO</v>
      </c>
      <c r="G180" t="str">
        <v>PTR ANATMICA  MOD</v>
      </c>
      <c r="H180" t="str">
        <v xml:space="preserve">VILLALBA </v>
      </c>
      <c r="I180" t="str">
        <v>ACEPTADO</v>
      </c>
      <c r="J180" t="str">
        <v>PARANÁ</v>
      </c>
      <c r="K180" t="str">
        <v>PAMI</v>
      </c>
      <c r="L180">
        <v>155116005</v>
      </c>
    </row>
    <row r="181" spans="2:12" x14ac:dyDescent="0.25">
      <c r="B181">
        <v>45099</v>
      </c>
      <c r="C181" t="str">
        <v>RODRIGUEZ SANTOS</v>
      </c>
      <c r="D181">
        <v>24</v>
      </c>
      <c r="E181" t="str">
        <v>GARCIA VITOR</v>
      </c>
      <c r="F181" t="str">
        <v>LCA</v>
      </c>
      <c r="G181" t="str">
        <v>TORN. BOTON/HDH</v>
      </c>
      <c r="H181">
        <v>0</v>
      </c>
      <c r="I181" t="str">
        <v xml:space="preserve">INICIADO </v>
      </c>
      <c r="J181" t="str">
        <v>VILLAGUAY</v>
      </c>
      <c r="K181" t="str">
        <v>S/M</v>
      </c>
      <c r="L181">
        <v>3455402807</v>
      </c>
    </row>
    <row r="182" spans="2:12" x14ac:dyDescent="0.25">
      <c r="B182">
        <v>45099</v>
      </c>
      <c r="C182" t="str">
        <v xml:space="preserve">FLORES MIGUEL ANGEL </v>
      </c>
      <c r="D182">
        <v>47</v>
      </c>
      <c r="E182" t="str">
        <v>GARCIA VITOR</v>
      </c>
      <c r="F182" t="str">
        <v>LCA</v>
      </c>
      <c r="G182" t="str">
        <v>TORN.BOTON</v>
      </c>
      <c r="H182">
        <v>0</v>
      </c>
      <c r="I182" t="str">
        <v>ACEPTADO</v>
      </c>
      <c r="J182" t="str">
        <v>VIALE</v>
      </c>
      <c r="K182" t="str">
        <v>S/M</v>
      </c>
      <c r="L182">
        <v>0</v>
      </c>
    </row>
    <row r="183" spans="2:12" x14ac:dyDescent="0.25">
      <c r="B183">
        <v>45103</v>
      </c>
      <c r="C183" t="str">
        <v>VALENTINUZ NELLI TERESITA</v>
      </c>
      <c r="D183">
        <v>91</v>
      </c>
      <c r="E183" t="str">
        <v>MERLINI</v>
      </c>
      <c r="F183" t="str">
        <v xml:space="preserve">FX CADERA </v>
      </c>
      <c r="G183" t="str">
        <v>CLAVO GAMMA</v>
      </c>
      <c r="H183" t="str">
        <v xml:space="preserve">VILLALBA </v>
      </c>
      <c r="I183" t="str">
        <v>ACEPTADO</v>
      </c>
      <c r="J183" t="str">
        <v>PARANÁ</v>
      </c>
      <c r="K183" t="str">
        <v>PAMI</v>
      </c>
      <c r="L183">
        <v>0</v>
      </c>
    </row>
    <row r="184" spans="2:12" x14ac:dyDescent="0.25">
      <c r="B184">
        <v>45103</v>
      </c>
      <c r="C184" t="str">
        <v xml:space="preserve">BARROSO MAGDALENA </v>
      </c>
      <c r="D184">
        <v>87</v>
      </c>
      <c r="E184" t="str">
        <v>MERLINI</v>
      </c>
      <c r="F184" t="str">
        <v xml:space="preserve">FX CADERA </v>
      </c>
      <c r="G184" t="str">
        <v>CLAVO GAMMA</v>
      </c>
      <c r="H184" t="str">
        <v xml:space="preserve">VILLALBA </v>
      </c>
      <c r="I184" t="str">
        <v>ACEPTADO</v>
      </c>
      <c r="J184" t="str">
        <v xml:space="preserve">NOGOYA </v>
      </c>
      <c r="K184" t="str">
        <v>PAMI</v>
      </c>
      <c r="L184">
        <v>0</v>
      </c>
    </row>
    <row r="185" spans="2:12" x14ac:dyDescent="0.25">
      <c r="B185">
        <v>45103</v>
      </c>
      <c r="C185" t="str">
        <v xml:space="preserve">LUGON TERESITA BEATRIZ </v>
      </c>
      <c r="D185">
        <v>73</v>
      </c>
      <c r="E185" t="str">
        <v>MERLINI</v>
      </c>
      <c r="F185" t="str">
        <v xml:space="preserve">FX MUÑECA </v>
      </c>
      <c r="G185" t="str">
        <v>PACA VOLAR</v>
      </c>
      <c r="H185" t="str">
        <v xml:space="preserve">VILLALBA </v>
      </c>
      <c r="I185" t="str">
        <v>ACEPTADO</v>
      </c>
      <c r="J185" t="str">
        <v>PARANÁ</v>
      </c>
      <c r="K185" t="str">
        <v>PAMI</v>
      </c>
      <c r="L185">
        <v>0</v>
      </c>
    </row>
    <row r="186" spans="2:12" x14ac:dyDescent="0.25">
      <c r="B186">
        <v>45106</v>
      </c>
      <c r="C186" t="str">
        <v xml:space="preserve">ALGUIBE LAURA </v>
      </c>
      <c r="D186">
        <v>48</v>
      </c>
      <c r="E186" t="str">
        <v>VENTURI</v>
      </c>
      <c r="F186" t="str">
        <v>FX HUMERO</v>
      </c>
      <c r="G186" t="str">
        <v xml:space="preserve">PLACA PHILOS </v>
      </c>
      <c r="H186" t="str">
        <v xml:space="preserve">VILLALBA </v>
      </c>
      <c r="I186" t="str">
        <v>ACEPTADO</v>
      </c>
      <c r="J186" t="str">
        <v>PARANÁ</v>
      </c>
      <c r="K186" t="str">
        <v>PAMI</v>
      </c>
      <c r="L186">
        <v>0</v>
      </c>
    </row>
    <row r="187" spans="2:12" x14ac:dyDescent="0.25">
      <c r="B187">
        <v>45106</v>
      </c>
      <c r="C187" t="str">
        <v xml:space="preserve">PIROLA BETIS </v>
      </c>
      <c r="D187">
        <v>0</v>
      </c>
      <c r="E187" t="str">
        <v>SUKSDORF</v>
      </c>
      <c r="F187" t="str">
        <v>COXARTROSIS</v>
      </c>
      <c r="G187" t="str">
        <v>PTC CEMEN/COTILO DOB</v>
      </c>
      <c r="H187" t="str">
        <v xml:space="preserve">VILLALBA </v>
      </c>
      <c r="I187" t="str">
        <v>ACEPTADO</v>
      </c>
      <c r="J187" t="str">
        <v>PARANÁ</v>
      </c>
      <c r="K187" t="str">
        <v>PAMI</v>
      </c>
      <c r="L187">
        <v>0</v>
      </c>
    </row>
    <row r="188" spans="2:12" x14ac:dyDescent="0.25">
      <c r="B188">
        <v>45106</v>
      </c>
      <c r="C188" t="str">
        <v xml:space="preserve">DIGIOBANI LUCAS </v>
      </c>
      <c r="D188">
        <v>16</v>
      </c>
      <c r="E188" t="str">
        <v>YACOMO</v>
      </c>
      <c r="F188" t="str">
        <v xml:space="preserve">RUP DE ROTULA </v>
      </c>
      <c r="G188" t="str">
        <v>ARP/TORN/STRPPER</v>
      </c>
      <c r="H188">
        <v>0</v>
      </c>
      <c r="I188" t="str">
        <v xml:space="preserve">INICIADO </v>
      </c>
      <c r="J188" t="str">
        <v>PARANÁ</v>
      </c>
      <c r="K188" t="str">
        <v>S/M</v>
      </c>
      <c r="L188">
        <v>154196446</v>
      </c>
    </row>
    <row r="189" spans="2:12" x14ac:dyDescent="0.25">
      <c r="B189">
        <v>45106</v>
      </c>
      <c r="C189" t="str">
        <v xml:space="preserve">GUTIERREZ DORALISA </v>
      </c>
      <c r="D189">
        <v>71</v>
      </c>
      <c r="E189" t="str">
        <v>SUKSDORF</v>
      </c>
      <c r="F189" t="str">
        <v>GONARTROSIS</v>
      </c>
      <c r="G189" t="str">
        <v xml:space="preserve">PTR PRIMARIA </v>
      </c>
      <c r="H189" t="str">
        <v xml:space="preserve">VILLALBA </v>
      </c>
      <c r="I189" t="str">
        <v>ACEPTADO</v>
      </c>
      <c r="J189" t="str">
        <v>PARANÁ</v>
      </c>
      <c r="K189" t="str">
        <v>PAMI</v>
      </c>
      <c r="L189">
        <v>0</v>
      </c>
    </row>
    <row r="190" spans="2:12" x14ac:dyDescent="0.25">
      <c r="B190">
        <v>45106</v>
      </c>
      <c r="C190" t="str">
        <v xml:space="preserve">MONTEROS MARIA </v>
      </c>
      <c r="D190">
        <v>77</v>
      </c>
      <c r="E190" t="str">
        <v>SUKSDORF</v>
      </c>
      <c r="F190" t="str">
        <v>COXARTROSIS</v>
      </c>
      <c r="G190" t="str">
        <v>PTC CEMEN/COTILO DOB</v>
      </c>
      <c r="H190" t="str">
        <v xml:space="preserve">VILLALBA </v>
      </c>
      <c r="I190" t="str">
        <v>ACEPTADO</v>
      </c>
      <c r="J190" t="str">
        <v>PARANÁ</v>
      </c>
      <c r="K190" t="str">
        <v>PAMI</v>
      </c>
      <c r="L190">
        <v>0</v>
      </c>
    </row>
    <row r="191" spans="2:12" x14ac:dyDescent="0.25">
      <c r="B191">
        <v>45107</v>
      </c>
      <c r="C191" t="str">
        <v>FROSCHAUER MIKEL</v>
      </c>
      <c r="D191">
        <v>25</v>
      </c>
      <c r="E191" t="str">
        <v>PELEGRINI</v>
      </c>
      <c r="F191" t="str">
        <v xml:space="preserve">LCA </v>
      </c>
      <c r="G191" t="str">
        <v xml:space="preserve">TORN INTRF/BOTON </v>
      </c>
      <c r="H191">
        <v>0</v>
      </c>
      <c r="I191" t="str">
        <v>ACEPTADO</v>
      </c>
      <c r="J191" t="str">
        <v>PARANÁ</v>
      </c>
      <c r="K191" t="str">
        <v>S/M</v>
      </c>
      <c r="L191">
        <v>0</v>
      </c>
    </row>
    <row r="192" spans="2:12" x14ac:dyDescent="0.25">
      <c r="B192">
        <v>45110</v>
      </c>
      <c r="C192" t="str">
        <v xml:space="preserve">LEIVA EDUARDO </v>
      </c>
      <c r="D192">
        <v>56</v>
      </c>
      <c r="E192" t="str">
        <v>SAPETTI</v>
      </c>
      <c r="F192" t="str">
        <v xml:space="preserve">GONALGIA </v>
      </c>
      <c r="G192" t="str">
        <v>PTR ANAT. MODULAR</v>
      </c>
      <c r="H192">
        <v>0</v>
      </c>
      <c r="I192" t="str">
        <v>ACEPTADO</v>
      </c>
      <c r="J192" t="str">
        <v>PARANÁ</v>
      </c>
      <c r="K192" t="str">
        <v>S/M</v>
      </c>
      <c r="L192">
        <v>15568726</v>
      </c>
    </row>
    <row r="193" spans="2:12" x14ac:dyDescent="0.25">
      <c r="B193">
        <v>45111</v>
      </c>
      <c r="C193" t="str">
        <v xml:space="preserve">MOREYRA MARTA </v>
      </c>
      <c r="D193">
        <v>63</v>
      </c>
      <c r="E193" t="str">
        <v>SAPETTI</v>
      </c>
      <c r="F193" t="str">
        <v>COXARTROSIS</v>
      </c>
      <c r="G193" t="str">
        <v xml:space="preserve">PTC CEMENTADA </v>
      </c>
      <c r="H193">
        <v>0</v>
      </c>
      <c r="I193" t="str">
        <v>ACEPTADO</v>
      </c>
      <c r="J193" t="str">
        <v>PARANÁ</v>
      </c>
      <c r="K193" t="str">
        <v>S/M</v>
      </c>
      <c r="L193">
        <v>3436221468</v>
      </c>
    </row>
    <row r="194" spans="2:12" x14ac:dyDescent="0.25">
      <c r="B194">
        <v>45111</v>
      </c>
      <c r="C194" t="str">
        <v>FRANCO LEONARDO</v>
      </c>
      <c r="D194">
        <v>38</v>
      </c>
      <c r="E194" t="str">
        <v>UCEDO</v>
      </c>
      <c r="F194" t="str">
        <v>ARTROSIS</v>
      </c>
      <c r="G194" t="str">
        <v>TORN. ESPONJA P.OSTEO</v>
      </c>
      <c r="H194">
        <v>0</v>
      </c>
      <c r="I194" t="str">
        <v>INICIADO</v>
      </c>
      <c r="J194" t="str">
        <v>PARANÁ</v>
      </c>
      <c r="K194" t="str">
        <v>S/M</v>
      </c>
      <c r="L194">
        <v>155319069</v>
      </c>
    </row>
    <row r="195" spans="2:12" x14ac:dyDescent="0.25">
      <c r="B195">
        <v>45112</v>
      </c>
      <c r="C195" t="str">
        <v>STTINER VERONICA</v>
      </c>
      <c r="D195">
        <v>76</v>
      </c>
      <c r="E195" t="str">
        <v>UCEDO</v>
      </c>
      <c r="F195" t="str">
        <v xml:space="preserve">FX CADERA </v>
      </c>
      <c r="G195" t="str">
        <v xml:space="preserve">PTC CEMEN/C DOBLE </v>
      </c>
      <c r="H195" t="str">
        <v xml:space="preserve">VILLALBA </v>
      </c>
      <c r="I195" t="str">
        <v>ACEPTADO</v>
      </c>
      <c r="J195" t="str">
        <v>PARANÁ</v>
      </c>
      <c r="K195" t="str">
        <v>PAMI</v>
      </c>
      <c r="L195">
        <v>0</v>
      </c>
    </row>
    <row r="196" spans="2:12" x14ac:dyDescent="0.25">
      <c r="B196">
        <v>45112</v>
      </c>
      <c r="C196" t="str">
        <v xml:space="preserve">PODVERCICH BRIAN </v>
      </c>
      <c r="D196">
        <v>23</v>
      </c>
      <c r="E196" t="str">
        <v>GARCIA VITOR</v>
      </c>
      <c r="F196" t="str">
        <v xml:space="preserve">LCA </v>
      </c>
      <c r="G196" t="str">
        <v>TORN INTERF/BOTON</v>
      </c>
      <c r="H196" t="str">
        <v xml:space="preserve">VILLALBA </v>
      </c>
      <c r="I196" t="str">
        <v>ACEPTADO</v>
      </c>
      <c r="J196" t="str">
        <v>HASENKAMP</v>
      </c>
      <c r="K196" t="str">
        <v>PAMI</v>
      </c>
      <c r="L196">
        <v>0</v>
      </c>
    </row>
    <row r="197" spans="2:12" x14ac:dyDescent="0.25">
      <c r="B197">
        <v>45113</v>
      </c>
      <c r="C197" t="str">
        <v xml:space="preserve">ZALAZAR DIANA </v>
      </c>
      <c r="D197">
        <v>49</v>
      </c>
      <c r="E197" t="str">
        <v>CESAR MEYNET</v>
      </c>
      <c r="F197" t="str">
        <v>GENU VARO</v>
      </c>
      <c r="G197" t="str">
        <v>PLACA PUDDU</v>
      </c>
      <c r="H197">
        <v>0</v>
      </c>
      <c r="I197" t="str">
        <v>INICIADO</v>
      </c>
      <c r="J197" t="str">
        <v xml:space="preserve">SANTA ELENA </v>
      </c>
      <c r="K197" t="str">
        <v>S/M</v>
      </c>
      <c r="L197">
        <v>3437417323</v>
      </c>
    </row>
    <row r="198" spans="2:12" x14ac:dyDescent="0.25">
      <c r="B198">
        <v>45114</v>
      </c>
      <c r="C198" t="str">
        <v>GADEA RUDECINDO</v>
      </c>
      <c r="D198">
        <v>69</v>
      </c>
      <c r="E198" t="str">
        <v>SAPETTI</v>
      </c>
      <c r="F198" t="str">
        <v xml:space="preserve">REVICION </v>
      </c>
      <c r="G198" t="str">
        <v xml:space="preserve">PTC/COT/P.CABLE/TORN </v>
      </c>
      <c r="H198" t="str">
        <v xml:space="preserve">VILLALBA </v>
      </c>
      <c r="I198" t="str">
        <v>ACEPTADO</v>
      </c>
      <c r="J198" t="str">
        <v xml:space="preserve">RAMIREZ </v>
      </c>
      <c r="K198" t="str">
        <v>PAMI</v>
      </c>
      <c r="L198">
        <v>0</v>
      </c>
    </row>
    <row r="199" spans="2:12" x14ac:dyDescent="0.25">
      <c r="B199">
        <v>45140</v>
      </c>
      <c r="C199" t="str">
        <v>FRANCO LEONARDO</v>
      </c>
      <c r="D199">
        <v>38</v>
      </c>
      <c r="E199" t="str">
        <v>UCEDO</v>
      </c>
      <c r="F199" t="str">
        <v>ART. ASTRAGALO</v>
      </c>
      <c r="G199" t="str">
        <v>P.OSTEOSISNTESIS</v>
      </c>
      <c r="H199">
        <v>0</v>
      </c>
      <c r="I199" t="str">
        <v>ACEPTADO</v>
      </c>
      <c r="J199" t="str">
        <v>PARANÁ</v>
      </c>
      <c r="K199" t="str">
        <v>S/M</v>
      </c>
      <c r="L199">
        <v>155699069</v>
      </c>
    </row>
    <row r="200" spans="2:12" x14ac:dyDescent="0.25">
      <c r="B200">
        <v>45141</v>
      </c>
      <c r="C200" t="str">
        <v xml:space="preserve">DUARTE ROXANA </v>
      </c>
      <c r="D200">
        <v>42</v>
      </c>
      <c r="E200" t="str">
        <v>CESAR MEYNET</v>
      </c>
      <c r="F200" t="str">
        <v>NOA</v>
      </c>
      <c r="G200" t="str">
        <v>PTC NO CEMENT</v>
      </c>
      <c r="H200">
        <v>0</v>
      </c>
      <c r="I200" t="str">
        <v>ACEPTADO</v>
      </c>
      <c r="J200" t="str">
        <v>VIALE</v>
      </c>
      <c r="K200" t="str">
        <v>S/M</v>
      </c>
      <c r="L200">
        <v>3425042727</v>
      </c>
    </row>
    <row r="201" spans="2:12" x14ac:dyDescent="0.25">
      <c r="B201">
        <v>45145</v>
      </c>
      <c r="C201" t="str">
        <v xml:space="preserve">SUKMANOWSKI MARIAN </v>
      </c>
      <c r="D201">
        <v>75</v>
      </c>
      <c r="E201" t="str">
        <v>PEÑA TANIA</v>
      </c>
      <c r="F201" t="str">
        <v>FX CADERA</v>
      </c>
      <c r="G201" t="str">
        <v>PTC CEMEN/COTILO</v>
      </c>
      <c r="H201" t="str">
        <v xml:space="preserve">VILLALBA </v>
      </c>
      <c r="I201" t="str">
        <v>ACEPTADO</v>
      </c>
      <c r="J201" t="str">
        <v>PARANÁ</v>
      </c>
      <c r="K201" t="str">
        <v>PAMI</v>
      </c>
      <c r="L201">
        <v>0</v>
      </c>
    </row>
    <row r="202" spans="2:12" x14ac:dyDescent="0.25">
      <c r="B202">
        <v>45145</v>
      </c>
      <c r="C202" t="str">
        <v xml:space="preserve">CORONEL DORA </v>
      </c>
      <c r="D202">
        <v>71</v>
      </c>
      <c r="E202" t="str">
        <v>PEÑA TANIA</v>
      </c>
      <c r="F202" t="str">
        <v xml:space="preserve">FX MUÑECA </v>
      </c>
      <c r="G202" t="str">
        <v>PLACA EDR</v>
      </c>
      <c r="H202" t="str">
        <v xml:space="preserve">VILLALBA </v>
      </c>
      <c r="I202" t="str">
        <v>ACEPTADO</v>
      </c>
      <c r="J202" t="str">
        <v>PARANÁ</v>
      </c>
      <c r="K202" t="str">
        <v>PAMI</v>
      </c>
      <c r="L202">
        <v>0</v>
      </c>
    </row>
    <row r="203" spans="2:12" x14ac:dyDescent="0.25">
      <c r="B203">
        <v>45145</v>
      </c>
      <c r="C203" t="str">
        <v xml:space="preserve">SEPPEY STELLA </v>
      </c>
      <c r="D203">
        <v>66</v>
      </c>
      <c r="E203" t="str">
        <v>MERLINI</v>
      </c>
      <c r="F203" t="str">
        <v xml:space="preserve">FX MUÑECA </v>
      </c>
      <c r="G203" t="str">
        <v>PLACA EDR</v>
      </c>
      <c r="H203" t="str">
        <v xml:space="preserve">VILLALBA </v>
      </c>
      <c r="I203" t="str">
        <v>ACEPTADO</v>
      </c>
      <c r="J203" t="str">
        <v>PARANÁ</v>
      </c>
      <c r="K203" t="str">
        <v>PAMI</v>
      </c>
      <c r="L203">
        <v>0</v>
      </c>
    </row>
    <row r="204" spans="2:12" x14ac:dyDescent="0.25">
      <c r="B204">
        <v>45148</v>
      </c>
      <c r="C204" t="str">
        <v xml:space="preserve">ZAPATA MIRTA </v>
      </c>
      <c r="D204">
        <v>51</v>
      </c>
      <c r="E204" t="str">
        <v>YACOMO</v>
      </c>
      <c r="F204" t="str">
        <v xml:space="preserve">LCA </v>
      </c>
      <c r="G204" t="str">
        <v xml:space="preserve">TORNILL/BOTON </v>
      </c>
      <c r="H204">
        <v>0</v>
      </c>
      <c r="I204" t="str">
        <v>ACEPTADO</v>
      </c>
      <c r="J204" t="str">
        <v>PARANÁ</v>
      </c>
      <c r="K204" t="str">
        <v>S/M</v>
      </c>
      <c r="L204">
        <v>3435301066</v>
      </c>
    </row>
    <row r="205" spans="2:12" x14ac:dyDescent="0.25">
      <c r="B205">
        <v>45149</v>
      </c>
      <c r="C205" t="str">
        <v xml:space="preserve">OSORIA STELL M </v>
      </c>
      <c r="D205">
        <v>59</v>
      </c>
      <c r="E205" t="str">
        <v xml:space="preserve">URANGA </v>
      </c>
      <c r="F205" t="str">
        <v>C. LUMBAR ESTCH</v>
      </c>
      <c r="G205" t="str">
        <v xml:space="preserve">BARRAS/TORN/CAGE </v>
      </c>
      <c r="H205">
        <v>0</v>
      </c>
      <c r="I205" t="str">
        <v>ACEPTADO</v>
      </c>
      <c r="J205" t="str">
        <v>PARANÁ</v>
      </c>
      <c r="K205" t="str">
        <v>S/M</v>
      </c>
      <c r="L205">
        <v>3436201996</v>
      </c>
    </row>
    <row r="206" spans="2:12" x14ac:dyDescent="0.25">
      <c r="B206">
        <v>45154</v>
      </c>
      <c r="C206" t="str">
        <v xml:space="preserve">ROTELA WALTER </v>
      </c>
      <c r="D206">
        <v>25</v>
      </c>
      <c r="E206" t="str">
        <v xml:space="preserve">HERMIDA </v>
      </c>
      <c r="F206" t="str">
        <v xml:space="preserve">LCA </v>
      </c>
      <c r="G206" t="str">
        <v xml:space="preserve">TORNILL/BOTON </v>
      </c>
      <c r="H206">
        <v>0</v>
      </c>
      <c r="I206" t="str">
        <v>ACEPTADO</v>
      </c>
      <c r="J206" t="str">
        <v>PARANÁ</v>
      </c>
      <c r="K206" t="str">
        <v>S/M</v>
      </c>
      <c r="L206">
        <v>0</v>
      </c>
    </row>
    <row r="207" spans="2:12" x14ac:dyDescent="0.25">
      <c r="B207">
        <v>45154</v>
      </c>
      <c r="C207" t="str">
        <v>GOROSITO GASPAR</v>
      </c>
      <c r="D207">
        <v>21</v>
      </c>
      <c r="E207" t="str">
        <v xml:space="preserve">HERMIDA </v>
      </c>
      <c r="F207" t="str">
        <v xml:space="preserve">LCA </v>
      </c>
      <c r="G207" t="str">
        <v xml:space="preserve">TORNILL/BOTON </v>
      </c>
      <c r="H207">
        <v>0</v>
      </c>
      <c r="I207" t="str">
        <v>ACEPTADO</v>
      </c>
      <c r="J207" t="str">
        <v>PARANÁ</v>
      </c>
      <c r="K207" t="str">
        <v>S/M</v>
      </c>
      <c r="L207">
        <v>0</v>
      </c>
    </row>
    <row r="208" spans="2:12" x14ac:dyDescent="0.25">
      <c r="B208">
        <v>45155</v>
      </c>
      <c r="C208" t="str">
        <v xml:space="preserve">VILLAVERDE FATIMA </v>
      </c>
      <c r="D208">
        <v>23</v>
      </c>
      <c r="E208" t="str">
        <v>YACOMO</v>
      </c>
      <c r="F208" t="str">
        <v xml:space="preserve">LCA </v>
      </c>
      <c r="G208" t="str">
        <v xml:space="preserve">TORNILL/BOTON </v>
      </c>
      <c r="H208">
        <v>0</v>
      </c>
      <c r="I208" t="str">
        <v>INICIADO</v>
      </c>
      <c r="J208" t="str">
        <v xml:space="preserve">SEGUI </v>
      </c>
      <c r="K208" t="str">
        <v>S/M</v>
      </c>
      <c r="L208">
        <v>3435178408</v>
      </c>
    </row>
    <row r="209" spans="2:12" x14ac:dyDescent="0.25">
      <c r="B209">
        <v>45155</v>
      </c>
      <c r="C209" t="str">
        <v xml:space="preserve">FORGEZ LORENZA </v>
      </c>
      <c r="D209">
        <v>61</v>
      </c>
      <c r="E209" t="str">
        <v>MERLINI</v>
      </c>
      <c r="F209" t="str">
        <v>FX CADERA</v>
      </c>
      <c r="G209" t="str">
        <v xml:space="preserve">PTC HIBRIDA </v>
      </c>
      <c r="H209" t="str">
        <v xml:space="preserve">IP MAGNA </v>
      </c>
      <c r="I209" t="str">
        <v>ACEPTADO</v>
      </c>
      <c r="J209" t="str">
        <v>PARANÁ</v>
      </c>
      <c r="K209" t="str">
        <v>PAMI</v>
      </c>
      <c r="L209">
        <v>0</v>
      </c>
    </row>
    <row r="210" spans="2:12" x14ac:dyDescent="0.25">
      <c r="B210">
        <v>45155</v>
      </c>
      <c r="C210" t="str">
        <v>BECKER MERCEDES</v>
      </c>
      <c r="D210">
        <v>57</v>
      </c>
      <c r="E210" t="str">
        <v>MERLINI</v>
      </c>
      <c r="F210" t="str">
        <v xml:space="preserve">FX MUÑECA </v>
      </c>
      <c r="G210" t="str">
        <v>PLACA EDR</v>
      </c>
      <c r="H210" t="str">
        <v xml:space="preserve">VILLALBA </v>
      </c>
      <c r="I210" t="str">
        <v>ACEPTADO</v>
      </c>
      <c r="J210" t="str">
        <v>PARANÁ</v>
      </c>
      <c r="K210" t="str">
        <v>PAMI</v>
      </c>
      <c r="L210">
        <v>0</v>
      </c>
    </row>
    <row r="211" spans="2:12" x14ac:dyDescent="0.25">
      <c r="B211">
        <v>45156</v>
      </c>
      <c r="C211" t="str">
        <v xml:space="preserve">BARRIOS YOLANDA </v>
      </c>
      <c r="D211">
        <v>66</v>
      </c>
      <c r="E211" t="str">
        <v>MERLINI</v>
      </c>
      <c r="F211" t="str">
        <v>FX HUMERO</v>
      </c>
      <c r="G211" t="str">
        <v xml:space="preserve">PLACA PHILOS </v>
      </c>
      <c r="H211" t="str">
        <v xml:space="preserve">VILLALBA </v>
      </c>
      <c r="I211" t="str">
        <v>ACEPTADO</v>
      </c>
      <c r="J211" t="str">
        <v>PARANÁ</v>
      </c>
      <c r="K211" t="str">
        <v>PAMI</v>
      </c>
      <c r="L211">
        <v>0</v>
      </c>
    </row>
    <row r="212" spans="2:12" x14ac:dyDescent="0.25">
      <c r="B212">
        <v>45156</v>
      </c>
      <c r="C212" t="str">
        <v>CORVALAN MABEL</v>
      </c>
      <c r="D212">
        <v>62</v>
      </c>
      <c r="E212" t="str">
        <v>GARCIA VITOR</v>
      </c>
      <c r="F212" t="str">
        <v xml:space="preserve">COXARTROSIS </v>
      </c>
      <c r="G212" t="str">
        <v xml:space="preserve">PTC HIBRIDA </v>
      </c>
      <c r="H212" t="str">
        <v xml:space="preserve">IP MAGNA </v>
      </c>
      <c r="I212" t="str">
        <v>ACEPTADO</v>
      </c>
      <c r="J212" t="str">
        <v>PARANÁ</v>
      </c>
      <c r="K212" t="str">
        <v>PAMI</v>
      </c>
      <c r="L212">
        <v>0</v>
      </c>
    </row>
    <row r="213" spans="2:12" x14ac:dyDescent="0.25">
      <c r="B213">
        <v>45156</v>
      </c>
      <c r="C213" t="str">
        <v xml:space="preserve">GORO LIDIA </v>
      </c>
      <c r="D213">
        <v>59</v>
      </c>
      <c r="E213" t="str">
        <v>MERLINI</v>
      </c>
      <c r="F213" t="str">
        <v xml:space="preserve">FX MUÑECA </v>
      </c>
      <c r="G213" t="str">
        <v>PLACA VOLAR</v>
      </c>
      <c r="H213" t="str">
        <v xml:space="preserve">VILLALBA </v>
      </c>
      <c r="I213" t="str">
        <v>ACEPTADO</v>
      </c>
      <c r="J213" t="str">
        <v>PARANÁ</v>
      </c>
      <c r="K213" t="str">
        <v>PAMI</v>
      </c>
      <c r="L213">
        <v>0</v>
      </c>
    </row>
    <row r="214" spans="2:12" x14ac:dyDescent="0.25">
      <c r="B214">
        <v>45157</v>
      </c>
      <c r="C214" t="str">
        <v>SOSAYA JUAN FRANCISCO</v>
      </c>
      <c r="D214">
        <v>63</v>
      </c>
      <c r="E214" t="str">
        <v>GARCIA VITOR</v>
      </c>
      <c r="F214" t="str">
        <v>FX CADERA</v>
      </c>
      <c r="G214" t="str">
        <v>PPC BIPOLAR</v>
      </c>
      <c r="H214" t="str">
        <v xml:space="preserve">IP MAGNA </v>
      </c>
      <c r="I214" t="str">
        <v>ACEPTADO</v>
      </c>
      <c r="J214" t="str">
        <v>PARANÁ</v>
      </c>
      <c r="K214" t="str">
        <v>PAMI</v>
      </c>
      <c r="L214">
        <v>0</v>
      </c>
    </row>
    <row r="215" spans="2:12" x14ac:dyDescent="0.25">
      <c r="B215">
        <v>45157</v>
      </c>
      <c r="C215" t="str">
        <v xml:space="preserve">REINOSO VICTOR </v>
      </c>
      <c r="D215">
        <v>56</v>
      </c>
      <c r="E215" t="str">
        <v>GARCIA VITOR</v>
      </c>
      <c r="F215" t="str">
        <v xml:space="preserve">COXARTROSIS </v>
      </c>
      <c r="G215" t="str">
        <v xml:space="preserve">RTC NO CEMENT </v>
      </c>
      <c r="H215" t="str">
        <v xml:space="preserve">IP MAGNA </v>
      </c>
      <c r="I215" t="str">
        <v>ACEPTADO</v>
      </c>
      <c r="J215" t="str">
        <v>PARANÁ</v>
      </c>
      <c r="K215" t="str">
        <v>PAMI</v>
      </c>
      <c r="L215">
        <v>3435000272</v>
      </c>
    </row>
    <row r="216" spans="2:12" x14ac:dyDescent="0.25">
      <c r="B216">
        <v>45160</v>
      </c>
      <c r="C216" t="str">
        <v>LOPEZ IGNACIO</v>
      </c>
      <c r="D216">
        <v>67</v>
      </c>
      <c r="E216" t="str">
        <v>MERLINI</v>
      </c>
      <c r="F216" t="str">
        <v xml:space="preserve">FX TIBIA-PERONE </v>
      </c>
      <c r="G216" t="str">
        <v>CLAVO GAMMA</v>
      </c>
      <c r="H216" t="str">
        <v xml:space="preserve">VILLALBA </v>
      </c>
      <c r="I216" t="str">
        <v>ACEPTADO</v>
      </c>
      <c r="J216" t="str">
        <v>PARANÁ</v>
      </c>
      <c r="K216" t="str">
        <v>PAMI</v>
      </c>
      <c r="L216">
        <v>0</v>
      </c>
    </row>
    <row r="217" spans="2:12" x14ac:dyDescent="0.25">
      <c r="B217">
        <v>45160</v>
      </c>
      <c r="C217" t="str">
        <v>BOVIER SILVANO</v>
      </c>
      <c r="D217">
        <v>82</v>
      </c>
      <c r="E217" t="str">
        <v>MERLINI</v>
      </c>
      <c r="F217" t="str">
        <v>FX CADERA</v>
      </c>
      <c r="G217" t="str">
        <v>CLAVO GAMMA</v>
      </c>
      <c r="H217" t="str">
        <v xml:space="preserve">VILLALBA </v>
      </c>
      <c r="I217" t="str">
        <v>ACEPTADO</v>
      </c>
      <c r="J217" t="str">
        <v>PARANÁ</v>
      </c>
      <c r="K217" t="str">
        <v>PAMI</v>
      </c>
      <c r="L217">
        <v>0</v>
      </c>
    </row>
    <row r="218" spans="2:12" x14ac:dyDescent="0.25">
      <c r="B218">
        <v>45162</v>
      </c>
      <c r="C218" t="str">
        <v>ARCE EUFEMIO</v>
      </c>
      <c r="D218">
        <v>70</v>
      </c>
      <c r="E218" t="str">
        <v>YACOMO</v>
      </c>
      <c r="F218" t="str">
        <v>GENU VARO</v>
      </c>
      <c r="G218" t="str">
        <v xml:space="preserve">PTR ANATOMICA </v>
      </c>
      <c r="H218" t="str">
        <v xml:space="preserve">IP MAGNA </v>
      </c>
      <c r="I218" t="str">
        <v>ACEPTADO</v>
      </c>
      <c r="J218" t="str">
        <v>PARANÁ</v>
      </c>
      <c r="K218" t="str">
        <v>PAMI</v>
      </c>
      <c r="L218">
        <v>0</v>
      </c>
    </row>
    <row r="219" spans="2:12" x14ac:dyDescent="0.25">
      <c r="B219">
        <v>45162</v>
      </c>
      <c r="C219" t="str">
        <v>GOMEZ MARIO</v>
      </c>
      <c r="D219">
        <v>68</v>
      </c>
      <c r="E219" t="str">
        <v>STOPELLO</v>
      </c>
      <c r="F219" t="str">
        <v>GENU VARO</v>
      </c>
      <c r="G219" t="str">
        <v xml:space="preserve">PTR ANATOMICA </v>
      </c>
      <c r="H219" t="str">
        <v xml:space="preserve">IP MAGNA </v>
      </c>
      <c r="I219" t="str">
        <v>ACEPTADO</v>
      </c>
      <c r="J219" t="str">
        <v>PARANÁ</v>
      </c>
      <c r="K219" t="str">
        <v>PAMI</v>
      </c>
      <c r="L219">
        <v>0</v>
      </c>
    </row>
    <row r="220" spans="2:12" x14ac:dyDescent="0.25">
      <c r="B220">
        <v>45166</v>
      </c>
      <c r="C220" t="str">
        <v xml:space="preserve">CABRERA ROGELIA </v>
      </c>
      <c r="D220">
        <v>89</v>
      </c>
      <c r="E220" t="str">
        <v>UCEDO</v>
      </c>
      <c r="F220" t="str">
        <v>FX CADERA</v>
      </c>
      <c r="G220" t="str">
        <v>CLAVO GAMMA</v>
      </c>
      <c r="H220" t="str">
        <v xml:space="preserve">VILLALBA </v>
      </c>
      <c r="I220" t="str">
        <v>ACEPTADO</v>
      </c>
      <c r="J220" t="str">
        <v>PARANÁ</v>
      </c>
      <c r="K220" t="str">
        <v>PAMI</v>
      </c>
      <c r="L220">
        <v>0</v>
      </c>
    </row>
    <row r="221" spans="2:12" x14ac:dyDescent="0.25">
      <c r="B221">
        <v>45166</v>
      </c>
      <c r="C221" t="str">
        <v xml:space="preserve">VERGARA RAMONA </v>
      </c>
      <c r="D221">
        <v>73</v>
      </c>
      <c r="E221" t="str">
        <v>NARVAEZ</v>
      </c>
      <c r="F221" t="str">
        <v>HALLUX VALGO</v>
      </c>
      <c r="G221" t="str">
        <v>TOR HERBERT</v>
      </c>
      <c r="H221" t="str">
        <v xml:space="preserve">VILLALBA </v>
      </c>
      <c r="I221" t="str">
        <v>ACEPTADO</v>
      </c>
      <c r="J221" t="str">
        <v>PARANÁ</v>
      </c>
      <c r="K221" t="str">
        <v>PAMI</v>
      </c>
      <c r="L221">
        <v>0</v>
      </c>
    </row>
    <row r="222" spans="2:12" x14ac:dyDescent="0.25">
      <c r="B222">
        <v>45166</v>
      </c>
      <c r="C222" t="str">
        <v xml:space="preserve">SILVA ANA MARIA </v>
      </c>
      <c r="D222">
        <v>68</v>
      </c>
      <c r="E222" t="str">
        <v>UCEDO</v>
      </c>
      <c r="F222" t="str">
        <v>GONARTROSIS</v>
      </c>
      <c r="G222" t="str">
        <v>RTR ANATOMICA</v>
      </c>
      <c r="H222" t="str">
        <v xml:space="preserve">IP MAGNA </v>
      </c>
      <c r="I222" t="str">
        <v>ACEPTADO</v>
      </c>
      <c r="J222" t="str">
        <v>PARANÁ</v>
      </c>
      <c r="K222" t="str">
        <v>PAMI</v>
      </c>
      <c r="L222">
        <v>0</v>
      </c>
    </row>
    <row r="223" spans="2:12" x14ac:dyDescent="0.25">
      <c r="B223">
        <v>45166</v>
      </c>
      <c r="C223" t="str">
        <v>VILLAGRA JOSE</v>
      </c>
      <c r="D223">
        <v>71</v>
      </c>
      <c r="E223" t="str">
        <v>UCEDO</v>
      </c>
      <c r="F223" t="str">
        <v xml:space="preserve">COXARTROSIS </v>
      </c>
      <c r="G223" t="str">
        <v>PTC CEMEN/COTILO</v>
      </c>
      <c r="H223" t="str">
        <v xml:space="preserve">VILLALBA </v>
      </c>
      <c r="I223" t="str">
        <v>ACEPTADO</v>
      </c>
      <c r="J223" t="str">
        <v>PARANÁ</v>
      </c>
      <c r="K223" t="str">
        <v>PAMI</v>
      </c>
      <c r="L223">
        <v>0</v>
      </c>
    </row>
    <row r="224" spans="2:12" x14ac:dyDescent="0.25">
      <c r="B224">
        <v>45166</v>
      </c>
      <c r="C224" t="str">
        <v xml:space="preserve">FERREYRA MARIA DEL CARMEN </v>
      </c>
      <c r="D224">
        <v>60</v>
      </c>
      <c r="E224" t="str">
        <v>STOPELLO</v>
      </c>
      <c r="F224" t="str">
        <v>GONARTROSIS</v>
      </c>
      <c r="G224" t="str">
        <v>RTR ANATOMICA</v>
      </c>
      <c r="H224" t="str">
        <v xml:space="preserve">IP MAGNA </v>
      </c>
      <c r="I224" t="str">
        <v>ACEPTADO</v>
      </c>
      <c r="J224" t="str">
        <v>PARANÁ</v>
      </c>
      <c r="K224" t="str">
        <v>PAMI</v>
      </c>
      <c r="L224">
        <v>0</v>
      </c>
    </row>
    <row r="225" spans="2:12" x14ac:dyDescent="0.25">
      <c r="B225">
        <v>45167</v>
      </c>
      <c r="C225" t="str">
        <v>ARRUA JUANA</v>
      </c>
      <c r="D225">
        <v>75</v>
      </c>
      <c r="E225" t="str">
        <v>MERLINI</v>
      </c>
      <c r="F225" t="str">
        <v>FX CADERA</v>
      </c>
      <c r="G225" t="str">
        <v>PTC CEMEN/COTILO</v>
      </c>
      <c r="H225" t="str">
        <v xml:space="preserve">VILLALBA </v>
      </c>
      <c r="I225" t="str">
        <v>ACEPTADO</v>
      </c>
      <c r="J225" t="str">
        <v>PARANÁ</v>
      </c>
      <c r="K225" t="str">
        <v>PAMI</v>
      </c>
      <c r="L225">
        <v>0</v>
      </c>
    </row>
    <row r="226" spans="2:12" x14ac:dyDescent="0.25">
      <c r="B226">
        <v>45169</v>
      </c>
      <c r="C226" t="str">
        <v xml:space="preserve">CHARVEY ELSA </v>
      </c>
      <c r="D226">
        <v>63</v>
      </c>
      <c r="E226" t="str">
        <v>STOPELLO</v>
      </c>
      <c r="F226" t="str">
        <v>GONARTROSIS</v>
      </c>
      <c r="G226" t="str">
        <v xml:space="preserve">PTR ANATOMICA </v>
      </c>
      <c r="H226" t="str">
        <v xml:space="preserve">IP MAGNA </v>
      </c>
      <c r="I226" t="str">
        <v>ACEPTADO</v>
      </c>
      <c r="J226" t="str">
        <v>PARANÁ</v>
      </c>
      <c r="K226" t="str">
        <v>PAMI</v>
      </c>
      <c r="L226">
        <v>0</v>
      </c>
    </row>
    <row r="227" spans="2:12" x14ac:dyDescent="0.25">
      <c r="B227">
        <v>45169</v>
      </c>
      <c r="C227" t="str">
        <v>FONTANA ESTHER</v>
      </c>
      <c r="D227">
        <v>75</v>
      </c>
      <c r="E227" t="str">
        <v>GARCIA VITOR</v>
      </c>
      <c r="F227" t="str">
        <v xml:space="preserve">FALLA OSTEOS </v>
      </c>
      <c r="G227" t="str">
        <v>TALLO/COTILO</v>
      </c>
      <c r="H227" t="str">
        <v xml:space="preserve">IP MAGNA </v>
      </c>
      <c r="I227" t="str">
        <v>ACEPTADO</v>
      </c>
      <c r="J227" t="str">
        <v>PARANÁ</v>
      </c>
      <c r="K227" t="str">
        <v>PAMI</v>
      </c>
      <c r="L227">
        <v>0</v>
      </c>
    </row>
    <row r="228" spans="2:12" x14ac:dyDescent="0.25">
      <c r="B228">
        <v>45169</v>
      </c>
      <c r="C228" t="str">
        <v xml:space="preserve">GUTIERREZ DORALISA </v>
      </c>
      <c r="D228">
        <v>66</v>
      </c>
      <c r="E228" t="str">
        <v>SUKSDORF</v>
      </c>
      <c r="F228" t="str">
        <v>GONARTROSIS</v>
      </c>
      <c r="G228" t="str">
        <v>RTR ANATM. MODUL</v>
      </c>
      <c r="H228" t="str">
        <v xml:space="preserve">IP MAGNA </v>
      </c>
      <c r="I228" t="str">
        <v>ACEPTADO</v>
      </c>
      <c r="J228" t="str">
        <v>PARANÁ</v>
      </c>
      <c r="K228" t="str">
        <v>PAMI</v>
      </c>
      <c r="L228">
        <v>0</v>
      </c>
    </row>
    <row r="229" spans="2:12" x14ac:dyDescent="0.25">
      <c r="B229">
        <v>45170</v>
      </c>
      <c r="C229" t="str">
        <v xml:space="preserve">RIOS GRGORIA </v>
      </c>
      <c r="D229">
        <v>72</v>
      </c>
      <c r="E229" t="str">
        <v>GARCIA VITOR</v>
      </c>
      <c r="F229" t="str">
        <v>GONARTROSIS</v>
      </c>
      <c r="G229" t="str">
        <v>RTR ANATOM. MODULAR</v>
      </c>
      <c r="H229" t="str">
        <v>VILLALBA</v>
      </c>
      <c r="I229" t="str">
        <v>ACEPTADO</v>
      </c>
      <c r="J229" t="str">
        <v>PARANÁ</v>
      </c>
      <c r="K229" t="str">
        <v>PAMI</v>
      </c>
      <c r="L229">
        <v>0</v>
      </c>
    </row>
    <row r="230" spans="2:12" x14ac:dyDescent="0.25">
      <c r="B230">
        <v>45175</v>
      </c>
      <c r="C230" t="str">
        <v>GIMENEZ CLAUDIO</v>
      </c>
      <c r="D230">
        <v>47</v>
      </c>
      <c r="E230" t="str">
        <v>SAPETTI</v>
      </c>
      <c r="F230">
        <v>0</v>
      </c>
      <c r="G230" t="str">
        <v>CLAVO ENDM.PARA TIBIA</v>
      </c>
      <c r="H230">
        <v>0</v>
      </c>
      <c r="I230" t="str">
        <v>ACEPTADO</v>
      </c>
      <c r="J230" t="str">
        <v>PARANÁ</v>
      </c>
      <c r="K230" t="str">
        <v>S/M</v>
      </c>
      <c r="L230">
        <v>0</v>
      </c>
    </row>
    <row r="231" spans="2:12" x14ac:dyDescent="0.25">
      <c r="B231">
        <v>45175</v>
      </c>
      <c r="C231" t="str">
        <v>MANETTI MIGUEL ANGEL</v>
      </c>
      <c r="D231">
        <v>69</v>
      </c>
      <c r="E231" t="str">
        <v>SAPETTI</v>
      </c>
      <c r="F231" t="str">
        <v xml:space="preserve">FALLA OSTEOS </v>
      </c>
      <c r="G231" t="str">
        <v>PTR PRIMARIO</v>
      </c>
      <c r="H231" t="str">
        <v xml:space="preserve">IP MAGNA </v>
      </c>
      <c r="I231" t="str">
        <v>ACEPTADO</v>
      </c>
      <c r="J231" t="str">
        <v>PARANÁ</v>
      </c>
      <c r="K231" t="str">
        <v>PAMI</v>
      </c>
      <c r="L231">
        <v>0</v>
      </c>
    </row>
    <row r="232" spans="2:12" x14ac:dyDescent="0.25">
      <c r="B232">
        <v>45176</v>
      </c>
      <c r="C232" t="str">
        <v>TOCHI ANDRES</v>
      </c>
      <c r="D232">
        <v>73</v>
      </c>
      <c r="E232" t="str">
        <v>SAPETTI</v>
      </c>
      <c r="F232" t="str">
        <v>ARTROSIS</v>
      </c>
      <c r="G232" t="str">
        <v>PTR HIBRIDA</v>
      </c>
      <c r="H232" t="str">
        <v>VILLALBA</v>
      </c>
      <c r="I232" t="str">
        <v>ACEPTADO</v>
      </c>
      <c r="J232" t="str">
        <v>PARANÁ</v>
      </c>
      <c r="K232" t="str">
        <v>PAMI</v>
      </c>
      <c r="L232">
        <v>0</v>
      </c>
    </row>
    <row r="233" spans="2:12" x14ac:dyDescent="0.25">
      <c r="B233">
        <v>45176</v>
      </c>
      <c r="C233" t="str">
        <v xml:space="preserve">DEMARTIN ANIBAL </v>
      </c>
      <c r="D233">
        <v>44</v>
      </c>
      <c r="E233" t="str">
        <v>STOPELLO</v>
      </c>
      <c r="F233" t="str">
        <v>ARTROSIS</v>
      </c>
      <c r="G233" t="str">
        <v>PTC NO CEMENT</v>
      </c>
      <c r="H233">
        <v>0</v>
      </c>
      <c r="I233" t="str">
        <v>ACEPTADO</v>
      </c>
      <c r="J233" t="str">
        <v>PARANÁ</v>
      </c>
      <c r="K233" t="str">
        <v>S/M</v>
      </c>
      <c r="L233">
        <v>0</v>
      </c>
    </row>
    <row r="234" spans="2:12" x14ac:dyDescent="0.25">
      <c r="B234">
        <v>45176</v>
      </c>
      <c r="C234" t="str">
        <v xml:space="preserve">GOMEZ BLANCA </v>
      </c>
      <c r="D234">
        <v>47</v>
      </c>
      <c r="E234" t="str">
        <v>STOPELLO</v>
      </c>
      <c r="F234" t="str">
        <v>ARTROSIS</v>
      </c>
      <c r="G234" t="str">
        <v xml:space="preserve">PTR ANATOMICA </v>
      </c>
      <c r="H234">
        <v>0</v>
      </c>
      <c r="I234" t="str">
        <v>ACEPTADO</v>
      </c>
      <c r="J234" t="str">
        <v>PARANÁ</v>
      </c>
      <c r="K234" t="str">
        <v>S/M</v>
      </c>
      <c r="L234">
        <v>0</v>
      </c>
    </row>
    <row r="235" spans="2:12" x14ac:dyDescent="0.25">
      <c r="B235">
        <v>45177</v>
      </c>
      <c r="C235" t="str">
        <v xml:space="preserve">DAVOLI MARIA </v>
      </c>
      <c r="D235">
        <v>64</v>
      </c>
      <c r="E235" t="str">
        <v>COLLOMB</v>
      </c>
      <c r="F235" t="str">
        <v>FX CADERA</v>
      </c>
      <c r="G235" t="str">
        <v>CLAVO GAMMA</v>
      </c>
      <c r="H235">
        <v>0</v>
      </c>
      <c r="I235" t="str">
        <v>OPERADO</v>
      </c>
      <c r="J235" t="str">
        <v>PARANÁ</v>
      </c>
      <c r="K235" t="str">
        <v>S/M</v>
      </c>
      <c r="L235">
        <v>0</v>
      </c>
    </row>
    <row r="236" spans="2:12" x14ac:dyDescent="0.25">
      <c r="B236">
        <v>45180</v>
      </c>
      <c r="C236" t="str">
        <v>VILLAGRA CAMILA</v>
      </c>
      <c r="D236">
        <v>18</v>
      </c>
      <c r="E236" t="str">
        <v>COLLOMB</v>
      </c>
      <c r="F236" t="str">
        <v>FX TIBIA</v>
      </c>
      <c r="G236" t="str">
        <v>CLAVO ENDOM. ACERROJ</v>
      </c>
      <c r="H236">
        <v>0</v>
      </c>
      <c r="I236" t="str">
        <v>ACEPTADO</v>
      </c>
      <c r="J236" t="str">
        <v>PARANÁ</v>
      </c>
      <c r="K236" t="str">
        <v>S/M</v>
      </c>
      <c r="L236">
        <v>0</v>
      </c>
    </row>
    <row r="237" spans="2:12" x14ac:dyDescent="0.25">
      <c r="B237">
        <v>45180</v>
      </c>
      <c r="C237" t="str">
        <v xml:space="preserve">IBARRA CARLOS </v>
      </c>
      <c r="D237">
        <v>22</v>
      </c>
      <c r="E237" t="str">
        <v>COLLOMB</v>
      </c>
      <c r="F237" t="str">
        <v>FX TIBIA</v>
      </c>
      <c r="G237" t="str">
        <v>CLACO ENDOM. ACERROJ</v>
      </c>
      <c r="H237">
        <v>0</v>
      </c>
      <c r="I237" t="str">
        <v>ACEPTADO</v>
      </c>
      <c r="J237" t="str">
        <v>PARANÁ</v>
      </c>
      <c r="K237" t="str">
        <v>S/M</v>
      </c>
      <c r="L237">
        <v>0</v>
      </c>
    </row>
    <row r="238" spans="2:12" x14ac:dyDescent="0.25">
      <c r="B238">
        <v>45180</v>
      </c>
      <c r="C238" t="str">
        <v xml:space="preserve">GODOY BLANCA </v>
      </c>
      <c r="D238">
        <v>74</v>
      </c>
      <c r="E238" t="str">
        <v xml:space="preserve">URANGA </v>
      </c>
      <c r="F238" t="str">
        <v>ESCOLIOSIS</v>
      </c>
      <c r="G238" t="str">
        <v>SIS.FIJ.LUMBO-SACRO</v>
      </c>
      <c r="H238" t="str">
        <v>VILLALBA</v>
      </c>
      <c r="I238" t="str">
        <v>ACEPTADO</v>
      </c>
      <c r="J238" t="str">
        <v>PARANÁ</v>
      </c>
      <c r="K238" t="str">
        <v>PAMI</v>
      </c>
      <c r="L238">
        <v>0</v>
      </c>
    </row>
    <row r="239" spans="2:12" x14ac:dyDescent="0.25">
      <c r="B239">
        <v>45180</v>
      </c>
      <c r="C239" t="str">
        <v xml:space="preserve">RODRIGUEZ MARIA ESTELA </v>
      </c>
      <c r="D239">
        <v>68</v>
      </c>
      <c r="E239" t="str">
        <v>SUKSDORF</v>
      </c>
      <c r="F239" t="str">
        <v xml:space="preserve">OMALGIA </v>
      </c>
      <c r="G239" t="str">
        <v>ARPONES</v>
      </c>
      <c r="H239" t="str">
        <v>VILLALBA</v>
      </c>
      <c r="I239" t="str">
        <v>ACEPTADO</v>
      </c>
      <c r="J239" t="str">
        <v>PARANÁ</v>
      </c>
      <c r="K239" t="str">
        <v>PAMI</v>
      </c>
      <c r="L239">
        <v>0</v>
      </c>
    </row>
    <row r="240" spans="2:12" x14ac:dyDescent="0.25">
      <c r="B240">
        <v>45180</v>
      </c>
      <c r="C240" t="str">
        <v xml:space="preserve">ALVAREZ JESICA </v>
      </c>
      <c r="D240">
        <v>25</v>
      </c>
      <c r="E240" t="str">
        <v>CESAR MEYNET</v>
      </c>
      <c r="F240" t="str">
        <v xml:space="preserve">LCA </v>
      </c>
      <c r="G240" t="str">
        <v xml:space="preserve">TORNILL/BOTON </v>
      </c>
      <c r="H240">
        <v>0</v>
      </c>
      <c r="I240" t="str">
        <v>INICIADO</v>
      </c>
      <c r="J240" t="str">
        <v xml:space="preserve">SANTA ELENA </v>
      </c>
      <c r="K240" t="str">
        <v>S/M</v>
      </c>
      <c r="L240">
        <v>0</v>
      </c>
    </row>
    <row r="241" spans="2:12" x14ac:dyDescent="0.25">
      <c r="B241">
        <v>45181</v>
      </c>
      <c r="C241" t="str">
        <v xml:space="preserve">PEREYRA RAMON </v>
      </c>
      <c r="D241">
        <v>60</v>
      </c>
      <c r="E241" t="str">
        <v>VENTURI</v>
      </c>
      <c r="F241" t="str">
        <v>L MANG. ROT</v>
      </c>
      <c r="G241" t="str">
        <v>ARPONES</v>
      </c>
      <c r="H241">
        <v>0</v>
      </c>
      <c r="I241" t="str">
        <v>ACEPTADO</v>
      </c>
      <c r="J241" t="str">
        <v>PARANÁ</v>
      </c>
      <c r="K241" t="str">
        <v>S/M</v>
      </c>
      <c r="L241">
        <v>0</v>
      </c>
    </row>
    <row r="242" spans="2:12" x14ac:dyDescent="0.25">
      <c r="B242">
        <v>45181</v>
      </c>
      <c r="C242" t="str">
        <v xml:space="preserve">VELAZQUEZ SUSANA </v>
      </c>
      <c r="D242">
        <v>24</v>
      </c>
      <c r="E242" t="str">
        <v>COLLOMB</v>
      </c>
      <c r="F242" t="str">
        <v>FX HUMERO</v>
      </c>
      <c r="G242" t="str">
        <v xml:space="preserve">PLACA PHILOS </v>
      </c>
      <c r="H242">
        <v>0</v>
      </c>
      <c r="I242" t="str">
        <v>ACEPTADO</v>
      </c>
      <c r="J242" t="str">
        <v>PARANÁ</v>
      </c>
      <c r="K242" t="str">
        <v>S/M</v>
      </c>
      <c r="L242">
        <v>0</v>
      </c>
    </row>
    <row r="243" spans="2:12" x14ac:dyDescent="0.25">
      <c r="B243">
        <v>45181</v>
      </c>
      <c r="C243" t="str">
        <v>GRANDOLI MICAELA</v>
      </c>
      <c r="D243">
        <v>74</v>
      </c>
      <c r="E243" t="str">
        <v>SAPETTI</v>
      </c>
      <c r="F243" t="str">
        <v>HALLUX VALGO</v>
      </c>
      <c r="G243" t="str">
        <v>PLACA VOLAR</v>
      </c>
      <c r="H243" t="str">
        <v xml:space="preserve">VILLALBA </v>
      </c>
      <c r="I243" t="str">
        <v>ACEPTADO</v>
      </c>
      <c r="J243" t="str">
        <v>PARANÁ</v>
      </c>
      <c r="K243" t="str">
        <v>PAMI</v>
      </c>
      <c r="L243">
        <v>0</v>
      </c>
    </row>
    <row r="244" spans="2:12" x14ac:dyDescent="0.25">
      <c r="B244">
        <v>45182</v>
      </c>
      <c r="C244" t="str">
        <v xml:space="preserve">FONSECA AMPARO </v>
      </c>
      <c r="D244">
        <v>24</v>
      </c>
      <c r="E244" t="str">
        <v xml:space="preserve">HERMIDA </v>
      </c>
      <c r="F244" t="str">
        <v xml:space="preserve">LCA </v>
      </c>
      <c r="G244" t="str">
        <v xml:space="preserve">TORNILL/BOTON </v>
      </c>
      <c r="H244">
        <v>0</v>
      </c>
      <c r="I244" t="str">
        <v>INICIADO</v>
      </c>
      <c r="J244" t="str">
        <v>PARANÁ</v>
      </c>
      <c r="K244" t="str">
        <v>S/M</v>
      </c>
      <c r="L244">
        <v>0</v>
      </c>
    </row>
    <row r="245" spans="2:12" x14ac:dyDescent="0.25">
      <c r="B245">
        <v>45182</v>
      </c>
      <c r="C245" t="str">
        <v xml:space="preserve">MANA ROQUE </v>
      </c>
      <c r="D245">
        <v>27</v>
      </c>
      <c r="E245" t="str">
        <v xml:space="preserve">HERMIDA </v>
      </c>
      <c r="F245" t="str">
        <v xml:space="preserve">LCA </v>
      </c>
      <c r="G245" t="str">
        <v xml:space="preserve">TORNILL/BOTON </v>
      </c>
      <c r="H245">
        <v>0</v>
      </c>
      <c r="I245" t="str">
        <v>INICIADO</v>
      </c>
      <c r="J245" t="str">
        <v>VICTORIA</v>
      </c>
      <c r="K245" t="str">
        <v>S/M</v>
      </c>
      <c r="L245">
        <v>0</v>
      </c>
    </row>
    <row r="246" spans="2:12" x14ac:dyDescent="0.25">
      <c r="B246">
        <v>45182</v>
      </c>
      <c r="C246" t="str">
        <v xml:space="preserve">ALEGRE LEONARDO </v>
      </c>
      <c r="D246">
        <v>27</v>
      </c>
      <c r="E246" t="str">
        <v xml:space="preserve">HERMIDA </v>
      </c>
      <c r="F246" t="str">
        <v xml:space="preserve">LCA </v>
      </c>
      <c r="G246" t="str">
        <v xml:space="preserve">TORNILL/BOTON </v>
      </c>
      <c r="H246">
        <v>0</v>
      </c>
      <c r="I246" t="str">
        <v>INICIADO</v>
      </c>
      <c r="J246" t="str">
        <v>PARANÁ</v>
      </c>
      <c r="K246" t="str">
        <v>S/M</v>
      </c>
      <c r="L246">
        <v>0</v>
      </c>
    </row>
    <row r="247" spans="2:12" x14ac:dyDescent="0.25">
      <c r="B247">
        <v>45182</v>
      </c>
      <c r="C247" t="str">
        <v xml:space="preserve">GARCIA MIGUEL </v>
      </c>
      <c r="D247">
        <v>68</v>
      </c>
      <c r="E247" t="str">
        <v>THOMPSOM</v>
      </c>
      <c r="F247" t="str">
        <v>L MANG. ROT</v>
      </c>
      <c r="G247" t="str">
        <v>ARPONES</v>
      </c>
      <c r="H247" t="str">
        <v xml:space="preserve">VILLALBA </v>
      </c>
      <c r="I247" t="str">
        <v>ACEPTADO</v>
      </c>
      <c r="J247" t="str">
        <v>PARANÁ</v>
      </c>
      <c r="K247" t="str">
        <v>PAMI</v>
      </c>
      <c r="L247">
        <v>0</v>
      </c>
    </row>
    <row r="248" spans="2:12" x14ac:dyDescent="0.25">
      <c r="B248">
        <v>45182</v>
      </c>
      <c r="C248" t="str">
        <v xml:space="preserve">BORGEAT LEONEL </v>
      </c>
      <c r="D248">
        <v>31</v>
      </c>
      <c r="E248" t="str">
        <v>UCEDO</v>
      </c>
      <c r="F248" t="str">
        <v xml:space="preserve">FX MUÑECA </v>
      </c>
      <c r="G248" t="str">
        <v>PLACA VOLAR</v>
      </c>
      <c r="H248">
        <v>0</v>
      </c>
      <c r="I248" t="str">
        <v>ACEPTADO</v>
      </c>
      <c r="J248" t="str">
        <v>PARANÁ</v>
      </c>
      <c r="K248" t="str">
        <v>S/M</v>
      </c>
      <c r="L248">
        <v>0</v>
      </c>
    </row>
    <row r="249" spans="2:12" x14ac:dyDescent="0.25">
      <c r="B249">
        <v>45183</v>
      </c>
      <c r="C249" t="str">
        <v xml:space="preserve">PEREYRA MARTA </v>
      </c>
      <c r="D249">
        <v>48</v>
      </c>
      <c r="E249" t="str">
        <v>YACOMO</v>
      </c>
      <c r="F249" t="str">
        <v xml:space="preserve">FX TIBIAL </v>
      </c>
      <c r="G249" t="str">
        <v xml:space="preserve">GUIATIBIAL/BOTON </v>
      </c>
      <c r="H249">
        <v>0</v>
      </c>
      <c r="I249" t="str">
        <v>ACEPTADO</v>
      </c>
      <c r="J249" t="str">
        <v xml:space="preserve">SAN SALVADOR </v>
      </c>
      <c r="K249" t="str">
        <v>S/M</v>
      </c>
      <c r="L249">
        <v>0</v>
      </c>
    </row>
    <row r="250" spans="2:12" x14ac:dyDescent="0.25">
      <c r="B250">
        <v>45183</v>
      </c>
      <c r="C250" t="str">
        <v xml:space="preserve">REDONI  LUIS </v>
      </c>
      <c r="D250">
        <v>65</v>
      </c>
      <c r="E250" t="str">
        <v>STOPELLO</v>
      </c>
      <c r="F250" t="str">
        <v>GONARTROSIS</v>
      </c>
      <c r="G250" t="str">
        <v xml:space="preserve">PTR CEMENTADA </v>
      </c>
      <c r="H250">
        <v>0</v>
      </c>
      <c r="I250" t="str">
        <v>ACEPTADO</v>
      </c>
      <c r="J250" t="str">
        <v>PARANÁ</v>
      </c>
      <c r="K250" t="str">
        <v>S/M</v>
      </c>
      <c r="L250">
        <v>0</v>
      </c>
    </row>
    <row r="251" spans="2:12" x14ac:dyDescent="0.25">
      <c r="B251">
        <v>45183</v>
      </c>
      <c r="C251" t="str">
        <v xml:space="preserve">ALEGRE MARIA </v>
      </c>
      <c r="D251">
        <v>48</v>
      </c>
      <c r="E251" t="str">
        <v>STOPELLO</v>
      </c>
      <c r="F251" t="str">
        <v>GONARTROSIS</v>
      </c>
      <c r="G251" t="str">
        <v xml:space="preserve">PTR CEMENTADA </v>
      </c>
      <c r="H251">
        <v>0</v>
      </c>
      <c r="I251" t="str">
        <v>ACEPTADO</v>
      </c>
      <c r="J251" t="str">
        <v>PARANÁ</v>
      </c>
      <c r="K251" t="str">
        <v>S/M</v>
      </c>
      <c r="L251">
        <v>0</v>
      </c>
    </row>
    <row r="252" spans="2:12" x14ac:dyDescent="0.25">
      <c r="B252">
        <v>45184</v>
      </c>
      <c r="C252" t="str">
        <v xml:space="preserve">GRANDOLI PATRICIA </v>
      </c>
      <c r="D252">
        <v>40</v>
      </c>
      <c r="E252" t="str">
        <v xml:space="preserve">URANGA </v>
      </c>
      <c r="F252" t="str">
        <v>CANAL ESTRECHO</v>
      </c>
      <c r="G252" t="str">
        <v xml:space="preserve">BARRAS/TORN/CAGE </v>
      </c>
      <c r="H252">
        <v>0</v>
      </c>
      <c r="I252" t="str">
        <v>ACEPTADO</v>
      </c>
      <c r="J252" t="str">
        <v>P. BRUGO</v>
      </c>
      <c r="K252" t="str">
        <v>S/M</v>
      </c>
      <c r="L252">
        <v>154544043</v>
      </c>
    </row>
    <row r="253" spans="2:12" x14ac:dyDescent="0.25">
      <c r="B253">
        <v>45184</v>
      </c>
      <c r="C253" t="str">
        <v xml:space="preserve">GRANDOLI PATRICIA </v>
      </c>
      <c r="D253">
        <v>40</v>
      </c>
      <c r="E253" t="str">
        <v xml:space="preserve">URANGA </v>
      </c>
      <c r="F253" t="str">
        <v>CANAL ESTRECHO</v>
      </c>
      <c r="G253" t="str">
        <v>SUST OSEO</v>
      </c>
      <c r="H253">
        <v>0</v>
      </c>
      <c r="I253" t="str">
        <v>INICIADO</v>
      </c>
      <c r="J253" t="str">
        <v>P. BRUGO</v>
      </c>
      <c r="K253" t="str">
        <v>S/M</v>
      </c>
      <c r="L253">
        <v>154544043</v>
      </c>
    </row>
    <row r="254" spans="2:12" x14ac:dyDescent="0.25">
      <c r="B254">
        <v>45187</v>
      </c>
      <c r="C254" t="str">
        <v xml:space="preserve">ROMERO MARIA </v>
      </c>
      <c r="D254">
        <v>62</v>
      </c>
      <c r="E254" t="str">
        <v>UCEDO</v>
      </c>
      <c r="F254" t="str">
        <v xml:space="preserve">PSEUDOARTROSIS </v>
      </c>
      <c r="G254" t="str">
        <v>TORNILLOS MELEOLAR</v>
      </c>
      <c r="H254" t="str">
        <v xml:space="preserve">VILLALBA </v>
      </c>
      <c r="I254" t="str">
        <v>ACEPTADO</v>
      </c>
      <c r="J254" t="str">
        <v>PARANÁ</v>
      </c>
      <c r="K254" t="str">
        <v>PAMI</v>
      </c>
      <c r="L254">
        <v>0</v>
      </c>
    </row>
    <row r="255" spans="2:12" x14ac:dyDescent="0.25">
      <c r="B255">
        <v>45187</v>
      </c>
      <c r="C255" t="str">
        <v xml:space="preserve">SCHMIDT RENATA </v>
      </c>
      <c r="D255">
        <v>91</v>
      </c>
      <c r="E255" t="str">
        <v xml:space="preserve">RESIDENTES </v>
      </c>
      <c r="F255" t="str">
        <v xml:space="preserve">FX CADERA </v>
      </c>
      <c r="G255" t="str">
        <v>PTC CEMEN/COTILO</v>
      </c>
      <c r="H255" t="str">
        <v>VILLALBA</v>
      </c>
      <c r="I255" t="str">
        <v>ACEPTADO</v>
      </c>
      <c r="J255" t="str">
        <v xml:space="preserve">HERNANDARIAS </v>
      </c>
      <c r="K255" t="str">
        <v>PAMI</v>
      </c>
      <c r="L255">
        <v>0</v>
      </c>
    </row>
    <row r="256" spans="2:12" x14ac:dyDescent="0.25">
      <c r="B256">
        <v>45188</v>
      </c>
      <c r="C256" t="str">
        <v xml:space="preserve">PEREZ BARTOLA </v>
      </c>
      <c r="D256">
        <v>99</v>
      </c>
      <c r="E256" t="str">
        <v>THOMPSOM</v>
      </c>
      <c r="F256" t="str">
        <v>FX CADERA</v>
      </c>
      <c r="G256" t="str">
        <v>CLAVO GAMMA</v>
      </c>
      <c r="H256" t="str">
        <v xml:space="preserve">VILLALBA </v>
      </c>
      <c r="I256" t="str">
        <v>ACEPTADO</v>
      </c>
      <c r="J256" t="str">
        <v>PARANÁ</v>
      </c>
      <c r="K256" t="str">
        <v>PAMI</v>
      </c>
      <c r="L256">
        <v>0</v>
      </c>
    </row>
    <row r="257" spans="2:12" x14ac:dyDescent="0.25">
      <c r="B257">
        <v>45188</v>
      </c>
      <c r="C257" t="str">
        <v xml:space="preserve">VILLAGRA VIVIANA </v>
      </c>
      <c r="D257">
        <v>54</v>
      </c>
      <c r="E257" t="str">
        <v>UCEDO</v>
      </c>
      <c r="F257" t="str">
        <v>ARTROSIS</v>
      </c>
      <c r="G257" t="str">
        <v>TORNL. CANUL</v>
      </c>
      <c r="H257">
        <v>0</v>
      </c>
      <c r="I257" t="str">
        <v>ACEPTADO</v>
      </c>
      <c r="J257" t="str">
        <v>PARANÁ</v>
      </c>
      <c r="K257" t="str">
        <v>S/M</v>
      </c>
      <c r="L257">
        <v>0</v>
      </c>
    </row>
    <row r="258" spans="2:12" x14ac:dyDescent="0.25">
      <c r="B258">
        <v>45190</v>
      </c>
      <c r="C258" t="str">
        <v>GOMEZ FACUNDO</v>
      </c>
      <c r="D258">
        <v>26</v>
      </c>
      <c r="E258" t="str">
        <v>STOPELLO</v>
      </c>
      <c r="F258" t="str">
        <v xml:space="preserve">LCA </v>
      </c>
      <c r="G258" t="str">
        <v xml:space="preserve">TORNILL/BOTON </v>
      </c>
      <c r="H258">
        <v>0</v>
      </c>
      <c r="I258" t="str">
        <v>ACEPTADO</v>
      </c>
      <c r="J258" t="str">
        <v>VILLAGUAY</v>
      </c>
      <c r="K258" t="str">
        <v>S/M</v>
      </c>
      <c r="L258">
        <v>0</v>
      </c>
    </row>
    <row r="259" spans="2:12" x14ac:dyDescent="0.25">
      <c r="B259">
        <v>45190</v>
      </c>
      <c r="C259" t="str">
        <v xml:space="preserve">FRIZLER GRACIELA </v>
      </c>
      <c r="D259">
        <v>65</v>
      </c>
      <c r="E259" t="str">
        <v>STOPELLO</v>
      </c>
      <c r="F259" t="str">
        <v>GONARTROSIS</v>
      </c>
      <c r="G259" t="str">
        <v xml:space="preserve">PTR ANATOMICA </v>
      </c>
      <c r="H259" t="str">
        <v xml:space="preserve">IP MAGNA </v>
      </c>
      <c r="I259" t="str">
        <v>ACEPTADO</v>
      </c>
      <c r="J259" t="str">
        <v xml:space="preserve">HERNANDARIAS </v>
      </c>
      <c r="K259" t="str">
        <v>PAMI</v>
      </c>
      <c r="L259">
        <v>3438607743</v>
      </c>
    </row>
    <row r="260" spans="2:12" x14ac:dyDescent="0.25">
      <c r="B260">
        <v>45190</v>
      </c>
      <c r="C260" t="str">
        <v>MAYORAZ SARA</v>
      </c>
      <c r="D260">
        <v>81</v>
      </c>
      <c r="E260" t="str">
        <v>COLLOMB</v>
      </c>
      <c r="F260" t="str">
        <v>FX CADERA</v>
      </c>
      <c r="G260" t="str">
        <v>CLAVO GAMMA</v>
      </c>
      <c r="H260" t="str">
        <v xml:space="preserve">VILLALBA </v>
      </c>
      <c r="I260" t="str">
        <v>ACEPTADO</v>
      </c>
      <c r="J260" t="str">
        <v>PARANÁ</v>
      </c>
      <c r="K260" t="str">
        <v>PAMI</v>
      </c>
      <c r="L260">
        <v>0</v>
      </c>
    </row>
    <row r="261" spans="2:12" x14ac:dyDescent="0.25">
      <c r="B261">
        <v>45191</v>
      </c>
      <c r="C261" t="str">
        <v xml:space="preserve">BARRETO CARLOS </v>
      </c>
      <c r="D261">
        <v>34</v>
      </c>
      <c r="E261" t="str">
        <v>PELEGRINI</v>
      </c>
      <c r="F261" t="str">
        <v xml:space="preserve">LCA </v>
      </c>
      <c r="G261" t="str">
        <v xml:space="preserve">TORNILL/BOTON </v>
      </c>
      <c r="H261">
        <v>0</v>
      </c>
      <c r="I261" t="str">
        <v>INICIADO</v>
      </c>
      <c r="J261" t="str">
        <v>VILLAGUAY</v>
      </c>
      <c r="K261" t="str">
        <v>S/M</v>
      </c>
      <c r="L261">
        <v>3455406132</v>
      </c>
    </row>
    <row r="262" spans="2:12" x14ac:dyDescent="0.25">
      <c r="B262">
        <v>45191</v>
      </c>
      <c r="C262" t="str">
        <v xml:space="preserve">FAELO IVAN </v>
      </c>
      <c r="D262">
        <v>23</v>
      </c>
      <c r="E262" t="str">
        <v>PELEGRINI</v>
      </c>
      <c r="F262" t="str">
        <v xml:space="preserve">LCA </v>
      </c>
      <c r="G262" t="str">
        <v xml:space="preserve">TORNILL/BOTON </v>
      </c>
      <c r="H262">
        <v>0</v>
      </c>
      <c r="I262" t="str">
        <v>INICIADO</v>
      </c>
      <c r="J262" t="str">
        <v>GUALEGUAYCHU</v>
      </c>
      <c r="K262" t="str">
        <v>S/M</v>
      </c>
      <c r="L262">
        <v>3444506352</v>
      </c>
    </row>
    <row r="263" spans="2:12" x14ac:dyDescent="0.25">
      <c r="B263">
        <v>45191</v>
      </c>
      <c r="C263" t="str">
        <v>BURGGARDT RICARDO</v>
      </c>
      <c r="D263">
        <v>53</v>
      </c>
      <c r="E263" t="str">
        <v>CATRIEL GODOY</v>
      </c>
      <c r="F263" t="str">
        <v xml:space="preserve">RUP MANG ROT </v>
      </c>
      <c r="G263" t="str">
        <v xml:space="preserve">ARPONES </v>
      </c>
      <c r="H263">
        <v>0</v>
      </c>
      <c r="I263" t="str">
        <v>ACEPTADO</v>
      </c>
      <c r="J263" t="str">
        <v>BOVRIL</v>
      </c>
      <c r="K263" t="str">
        <v>S/M</v>
      </c>
      <c r="L263">
        <v>0</v>
      </c>
    </row>
    <row r="264" spans="2:12" x14ac:dyDescent="0.25">
      <c r="B264">
        <v>45195</v>
      </c>
      <c r="C264" t="str">
        <v>YARCE  EDUARDO</v>
      </c>
      <c r="D264">
        <v>74</v>
      </c>
      <c r="E264" t="str">
        <v>THOMPSOM</v>
      </c>
      <c r="F264" t="str">
        <v>FX CADERA</v>
      </c>
      <c r="G264" t="str">
        <v>CLAVO GAMMA</v>
      </c>
      <c r="H264" t="str">
        <v xml:space="preserve">VILLALBA </v>
      </c>
      <c r="I264" t="str">
        <v>ACEPTADO</v>
      </c>
      <c r="J264" t="str">
        <v>PARANÁ</v>
      </c>
      <c r="K264" t="str">
        <v>PAMI</v>
      </c>
      <c r="L264">
        <v>0</v>
      </c>
    </row>
    <row r="265" spans="2:12" x14ac:dyDescent="0.25">
      <c r="B265">
        <v>45196</v>
      </c>
      <c r="C265" t="str">
        <v xml:space="preserve">ALTAMIRANO </v>
      </c>
      <c r="D265">
        <v>21</v>
      </c>
      <c r="E265" t="str">
        <v xml:space="preserve">HERMIDA </v>
      </c>
      <c r="F265" t="str">
        <v xml:space="preserve">LCA </v>
      </c>
      <c r="G265" t="str">
        <v xml:space="preserve">SISTEME DE SUTURA </v>
      </c>
      <c r="H265">
        <v>0</v>
      </c>
      <c r="I265" t="str">
        <v>INICIADO</v>
      </c>
      <c r="J265" t="str">
        <v xml:space="preserve">VILLAGUAY </v>
      </c>
      <c r="K265" t="str">
        <v>S/M</v>
      </c>
      <c r="L265">
        <v>3455410686</v>
      </c>
    </row>
    <row r="266" spans="2:12" x14ac:dyDescent="0.25">
      <c r="B266">
        <v>45197</v>
      </c>
      <c r="C266" t="str">
        <v xml:space="preserve"> CARRERA LILIANA </v>
      </c>
      <c r="D266">
        <v>0</v>
      </c>
      <c r="E266" t="str">
        <v>GARCIA VITOR</v>
      </c>
      <c r="F266" t="str">
        <v>COXOARTROS</v>
      </c>
      <c r="G266" t="str">
        <v>PTC NO CEMENT</v>
      </c>
      <c r="H266">
        <v>0</v>
      </c>
      <c r="I266" t="str">
        <v>ACEPTADO</v>
      </c>
      <c r="J266">
        <v>0</v>
      </c>
      <c r="K266" t="str">
        <v>S/M</v>
      </c>
      <c r="L266">
        <v>0</v>
      </c>
    </row>
    <row r="267" spans="2:12" x14ac:dyDescent="0.25">
      <c r="B267">
        <v>45197</v>
      </c>
      <c r="C267" t="str">
        <v xml:space="preserve">FANGI SUSANA </v>
      </c>
      <c r="D267">
        <v>0</v>
      </c>
      <c r="E267" t="str">
        <v>GARCIA VITOR</v>
      </c>
      <c r="F267" t="str">
        <v>GONARTROSIS</v>
      </c>
      <c r="G267" t="str">
        <v xml:space="preserve">PTR ANATOMICA </v>
      </c>
      <c r="H267" t="str">
        <v xml:space="preserve">VILLALBA </v>
      </c>
      <c r="I267" t="str">
        <v>ACEPTADO</v>
      </c>
      <c r="J267">
        <v>0</v>
      </c>
      <c r="K267" t="str">
        <v>PAMI</v>
      </c>
      <c r="L267">
        <v>0</v>
      </c>
    </row>
    <row r="268" spans="2:12" x14ac:dyDescent="0.25">
      <c r="B268">
        <v>45236</v>
      </c>
      <c r="C268" t="str">
        <v>VILLAGRA NOEMI</v>
      </c>
      <c r="D268">
        <v>65</v>
      </c>
      <c r="E268" t="str">
        <v>CATRIEL GODOY</v>
      </c>
      <c r="F268" t="str">
        <v>GENU VARO</v>
      </c>
      <c r="G268" t="str">
        <v xml:space="preserve">PTR ANATOMICA </v>
      </c>
      <c r="H268" t="str">
        <v>IP MAGNA</v>
      </c>
      <c r="I268" t="str">
        <v>ACEPTADO</v>
      </c>
      <c r="J268" t="str">
        <v>PARANÁ</v>
      </c>
      <c r="K268" t="str">
        <v>PAMI</v>
      </c>
      <c r="L268">
        <v>0</v>
      </c>
    </row>
    <row r="269" spans="2:12" x14ac:dyDescent="0.25">
      <c r="B269">
        <v>45236</v>
      </c>
      <c r="C269" t="str">
        <v>MULLER CARLOS</v>
      </c>
      <c r="D269">
        <v>82</v>
      </c>
      <c r="E269" t="str">
        <v>GARCIA VITOR</v>
      </c>
      <c r="F269" t="str">
        <v xml:space="preserve">GONARTROSIS </v>
      </c>
      <c r="G269" t="str">
        <v xml:space="preserve">PTR ANATOMICA </v>
      </c>
      <c r="H269" t="str">
        <v xml:space="preserve">VILLALBA </v>
      </c>
      <c r="I269" t="str">
        <v>ACEPTADO</v>
      </c>
      <c r="J269" t="str">
        <v>CERRITO</v>
      </c>
      <c r="K269" t="str">
        <v>PAMI</v>
      </c>
      <c r="L269">
        <v>0</v>
      </c>
    </row>
    <row r="270" spans="2:12" x14ac:dyDescent="0.25">
      <c r="B270">
        <v>45236</v>
      </c>
      <c r="C270" t="str">
        <v xml:space="preserve">ROSKOPF NORMA </v>
      </c>
      <c r="D270">
        <v>61</v>
      </c>
      <c r="E270" t="str">
        <v>COLLOMB</v>
      </c>
      <c r="F270" t="str">
        <v xml:space="preserve">FX MUÑECA </v>
      </c>
      <c r="G270" t="str">
        <v>P. DOBLE H. DISTAL</v>
      </c>
      <c r="H270" t="str">
        <v xml:space="preserve">VILLALBA </v>
      </c>
      <c r="I270" t="str">
        <v>ACEPTADO</v>
      </c>
      <c r="J270" t="str">
        <v>PARANÁ</v>
      </c>
      <c r="K270" t="str">
        <v>PAMI</v>
      </c>
      <c r="L270">
        <v>0</v>
      </c>
    </row>
    <row r="271" spans="2:12" x14ac:dyDescent="0.25">
      <c r="B271">
        <v>45236</v>
      </c>
      <c r="C271" t="str">
        <v>CASTRO ANTONIA</v>
      </c>
      <c r="D271">
        <v>83</v>
      </c>
      <c r="E271" t="str">
        <v>COLLOMB</v>
      </c>
      <c r="F271" t="str">
        <v xml:space="preserve">FX CADERA </v>
      </c>
      <c r="G271" t="str">
        <v>CLAVO GAMMA</v>
      </c>
      <c r="H271" t="str">
        <v xml:space="preserve">VILLALBA </v>
      </c>
      <c r="I271" t="str">
        <v>ACEPTADO</v>
      </c>
      <c r="J271" t="str">
        <v>PARANÁ</v>
      </c>
      <c r="K271" t="str">
        <v>PAMI</v>
      </c>
      <c r="L271">
        <v>0</v>
      </c>
    </row>
    <row r="272" spans="2:12" x14ac:dyDescent="0.25">
      <c r="B272">
        <v>45236</v>
      </c>
      <c r="C272" t="str">
        <v>MICHELOUD MARIA J</v>
      </c>
      <c r="D272">
        <v>80</v>
      </c>
      <c r="E272" t="str">
        <v>GARCIA VITOR</v>
      </c>
      <c r="F272" t="str">
        <v xml:space="preserve">GONARTROSIS </v>
      </c>
      <c r="G272" t="str">
        <v xml:space="preserve">PTR ANATOMICA </v>
      </c>
      <c r="H272" t="str">
        <v xml:space="preserve">VILLALBA </v>
      </c>
      <c r="I272" t="str">
        <v>ACEPTADO</v>
      </c>
      <c r="J272" t="str">
        <v>PARANÁ</v>
      </c>
      <c r="K272" t="str">
        <v>PAMI</v>
      </c>
      <c r="L272">
        <v>0</v>
      </c>
    </row>
    <row r="273" spans="2:12" x14ac:dyDescent="0.25">
      <c r="B273">
        <v>45237</v>
      </c>
      <c r="C273" t="str">
        <v xml:space="preserve">ANCILLOTTI STELLA </v>
      </c>
      <c r="D273">
        <v>77</v>
      </c>
      <c r="E273" t="str">
        <v>COLLOMB</v>
      </c>
      <c r="F273" t="str">
        <v xml:space="preserve">FX CADERA </v>
      </c>
      <c r="G273" t="str">
        <v xml:space="preserve">PTC CEMENT/ COTILO D </v>
      </c>
      <c r="H273" t="str">
        <v xml:space="preserve">VILLALBA </v>
      </c>
      <c r="I273" t="str">
        <v>ACEPTADO</v>
      </c>
      <c r="J273" t="str">
        <v>PARANÁ</v>
      </c>
      <c r="K273" t="str">
        <v>PAMI</v>
      </c>
      <c r="L273">
        <v>0</v>
      </c>
    </row>
    <row r="274" spans="2:12" x14ac:dyDescent="0.25">
      <c r="B274">
        <v>45237</v>
      </c>
      <c r="C274" t="str">
        <v xml:space="preserve">VEGA SONIA </v>
      </c>
      <c r="D274">
        <v>84</v>
      </c>
      <c r="E274" t="str">
        <v>COLLOMB</v>
      </c>
      <c r="F274" t="str">
        <v xml:space="preserve">FX CADERA </v>
      </c>
      <c r="G274" t="str">
        <v xml:space="preserve">C. GAMMA /DHS </v>
      </c>
      <c r="H274" t="str">
        <v xml:space="preserve">VILLALBA </v>
      </c>
      <c r="I274" t="str">
        <v>ACEPTADO</v>
      </c>
      <c r="J274" t="str">
        <v>PARANÁ</v>
      </c>
      <c r="K274" t="str">
        <v>PAMI</v>
      </c>
      <c r="L274">
        <v>0</v>
      </c>
    </row>
    <row r="275" spans="2:12" x14ac:dyDescent="0.25">
      <c r="B275">
        <v>45237</v>
      </c>
      <c r="C275" t="str">
        <v>ROMERO EDUARDO</v>
      </c>
      <c r="D275">
        <v>59</v>
      </c>
      <c r="E275" t="str">
        <v xml:space="preserve">HERMIDA </v>
      </c>
      <c r="F275" t="str">
        <v xml:space="preserve">COXARTROSIS </v>
      </c>
      <c r="G275" t="str">
        <v xml:space="preserve">PTC HIBRIDA </v>
      </c>
      <c r="H275">
        <v>0</v>
      </c>
      <c r="I275" t="str">
        <v xml:space="preserve">INICIADO </v>
      </c>
      <c r="J275" t="str">
        <v>PARANÁ</v>
      </c>
      <c r="K275" t="str">
        <v>S/M</v>
      </c>
      <c r="L275">
        <v>0</v>
      </c>
    </row>
    <row r="276" spans="2:12" x14ac:dyDescent="0.25">
      <c r="B276">
        <v>45237</v>
      </c>
      <c r="C276" t="str">
        <v xml:space="preserve">GONZALEZ PALOMA </v>
      </c>
      <c r="D276">
        <v>18</v>
      </c>
      <c r="E276">
        <v>0</v>
      </c>
      <c r="F276" t="str">
        <v>LCA</v>
      </c>
      <c r="G276" t="str">
        <v xml:space="preserve">TORNILLOS INTERF </v>
      </c>
      <c r="H276">
        <v>0</v>
      </c>
      <c r="I276" t="str">
        <v xml:space="preserve">INICIADO </v>
      </c>
      <c r="J276" t="str">
        <v>PARANÁ</v>
      </c>
      <c r="K276" t="str">
        <v>S/M</v>
      </c>
      <c r="L276">
        <v>0</v>
      </c>
    </row>
    <row r="277" spans="2:12" x14ac:dyDescent="0.25">
      <c r="B277">
        <v>45237</v>
      </c>
      <c r="C277" t="str">
        <v>GOZELA ALVERTO</v>
      </c>
      <c r="D277">
        <v>66</v>
      </c>
      <c r="E277" t="str">
        <v>UCEDO</v>
      </c>
      <c r="F277" t="str">
        <v xml:space="preserve">FX HUMERO </v>
      </c>
      <c r="G277" t="str">
        <v>C. ENDOMEDULAR</v>
      </c>
      <c r="H277" t="str">
        <v xml:space="preserve">VILLALBA </v>
      </c>
      <c r="I277" t="str">
        <v>ACEPTADO</v>
      </c>
      <c r="J277" t="str">
        <v>PARANÁ</v>
      </c>
      <c r="K277" t="str">
        <v>PAMI</v>
      </c>
      <c r="L277">
        <v>0</v>
      </c>
    </row>
    <row r="278" spans="2:12" x14ac:dyDescent="0.25">
      <c r="B278">
        <v>45237</v>
      </c>
      <c r="C278" t="str">
        <v xml:space="preserve">CISNEROS FACUNDO </v>
      </c>
      <c r="D278">
        <v>34</v>
      </c>
      <c r="E278" t="str">
        <v>CATRIEL GODOY</v>
      </c>
      <c r="F278" t="str">
        <v xml:space="preserve">NOA </v>
      </c>
      <c r="G278" t="str">
        <v xml:space="preserve">PTC CERAMICA </v>
      </c>
      <c r="H278">
        <v>0</v>
      </c>
      <c r="I278" t="str">
        <v>ACEPTADO</v>
      </c>
      <c r="J278" t="str">
        <v xml:space="preserve">NOGOYA </v>
      </c>
      <c r="K278" t="str">
        <v>S/M</v>
      </c>
      <c r="L278">
        <v>0</v>
      </c>
    </row>
    <row r="279" spans="2:12" x14ac:dyDescent="0.25">
      <c r="B279">
        <v>45239</v>
      </c>
      <c r="C279" t="str">
        <v xml:space="preserve">CASERES ALEJANDRA </v>
      </c>
      <c r="D279">
        <v>56</v>
      </c>
      <c r="E279" t="str">
        <v>STOPELLO</v>
      </c>
      <c r="F279" t="str">
        <v>AFLOJ. PROTES</v>
      </c>
      <c r="G279" t="str">
        <v xml:space="preserve">P TC  CEMENTADA </v>
      </c>
      <c r="H279">
        <v>0</v>
      </c>
      <c r="I279" t="str">
        <v>ACEPTADO</v>
      </c>
      <c r="J279" t="str">
        <v>PARANÁ</v>
      </c>
      <c r="K279" t="str">
        <v>S/M</v>
      </c>
      <c r="L279">
        <v>0</v>
      </c>
    </row>
    <row r="280" spans="2:12" x14ac:dyDescent="0.25">
      <c r="B280">
        <v>45239</v>
      </c>
      <c r="C280" t="str">
        <v>AGUIRRE ROBERTO</v>
      </c>
      <c r="D280">
        <v>36</v>
      </c>
      <c r="E280" t="str">
        <v xml:space="preserve">URANGA </v>
      </c>
      <c r="F280" t="str">
        <v xml:space="preserve">ESCOLIOSIS </v>
      </c>
      <c r="G280" t="str">
        <v xml:space="preserve">SIT.FIJ COLUMNA </v>
      </c>
      <c r="H280" t="str">
        <v>IP MAGNA</v>
      </c>
      <c r="I280" t="str">
        <v>ACEPTADO</v>
      </c>
      <c r="J280" t="str">
        <v>PARANÁ</v>
      </c>
      <c r="K280" t="str">
        <v>PAMI</v>
      </c>
      <c r="L280">
        <v>0</v>
      </c>
    </row>
    <row r="281" spans="2:12" x14ac:dyDescent="0.25">
      <c r="B281">
        <v>45239</v>
      </c>
      <c r="C281" t="str">
        <v xml:space="preserve">DUARTE GLADYS </v>
      </c>
      <c r="D281">
        <v>90</v>
      </c>
      <c r="E281" t="str">
        <v>UCEDO</v>
      </c>
      <c r="F281" t="str">
        <v xml:space="preserve">FX CADERA </v>
      </c>
      <c r="G281" t="str">
        <v>CLAV/GAMMA/CLAV DHS</v>
      </c>
      <c r="H281" t="str">
        <v xml:space="preserve">VILLALBA </v>
      </c>
      <c r="I281" t="str">
        <v>ACEPTADO</v>
      </c>
      <c r="J281" t="str">
        <v>PARANÁ</v>
      </c>
      <c r="K281" t="str">
        <v>PAMI</v>
      </c>
      <c r="L281">
        <v>0</v>
      </c>
    </row>
    <row r="282" spans="2:12" x14ac:dyDescent="0.25">
      <c r="B282">
        <v>45240</v>
      </c>
      <c r="C282" t="str">
        <v>ZANABRIA MARIA LINA</v>
      </c>
      <c r="D282">
        <v>0</v>
      </c>
      <c r="E282" t="str">
        <v>STOPELLO</v>
      </c>
      <c r="F282" t="str">
        <v xml:space="preserve">COXARTROSIS </v>
      </c>
      <c r="G282" t="str">
        <v>CLAVO GAMMA</v>
      </c>
      <c r="H282" t="str">
        <v xml:space="preserve">VILLALBA </v>
      </c>
      <c r="I282" t="str">
        <v>ACEPTADO</v>
      </c>
      <c r="J282" t="str">
        <v>PARANÁ</v>
      </c>
      <c r="K282" t="str">
        <v>PAMI</v>
      </c>
      <c r="L282">
        <v>0</v>
      </c>
    </row>
    <row r="283" spans="2:12" x14ac:dyDescent="0.25">
      <c r="B283">
        <v>45243</v>
      </c>
      <c r="C283" t="str">
        <v>CARDOZO LUCAS</v>
      </c>
      <c r="D283">
        <v>26</v>
      </c>
      <c r="E283" t="str">
        <v>GARCIA VITOR</v>
      </c>
      <c r="F283" t="str">
        <v>FX TOBILLO</v>
      </c>
      <c r="G283" t="str">
        <v xml:space="preserve">PLACA 1/3 </v>
      </c>
      <c r="H283">
        <v>0</v>
      </c>
      <c r="I283" t="str">
        <v>ACEPTADO</v>
      </c>
      <c r="J283" t="str">
        <v>CRESPO</v>
      </c>
      <c r="K283" t="str">
        <v>S/M</v>
      </c>
      <c r="L283">
        <v>0</v>
      </c>
    </row>
    <row r="284" spans="2:12" x14ac:dyDescent="0.25">
      <c r="B284">
        <v>45243</v>
      </c>
      <c r="C284" t="str">
        <v xml:space="preserve">PALACIOS ELBA </v>
      </c>
      <c r="D284">
        <v>69</v>
      </c>
      <c r="E284" t="str">
        <v>GARCIA VITOR</v>
      </c>
      <c r="F284" t="str">
        <v xml:space="preserve">ARTRO. RODILLA </v>
      </c>
      <c r="G284" t="str">
        <v xml:space="preserve">PTR ANATOMICA </v>
      </c>
      <c r="H284" t="str">
        <v>IP MAGNA</v>
      </c>
      <c r="I284" t="str">
        <v>ACEPTADO</v>
      </c>
      <c r="J284" t="str">
        <v xml:space="preserve">EL PALENQUE </v>
      </c>
      <c r="K284" t="str">
        <v>PAMI</v>
      </c>
      <c r="L284">
        <v>0</v>
      </c>
    </row>
    <row r="285" spans="2:12" x14ac:dyDescent="0.25">
      <c r="B285">
        <v>45243</v>
      </c>
      <c r="C285" t="str">
        <v xml:space="preserve">PALACIOS ELBA </v>
      </c>
      <c r="D285">
        <v>69</v>
      </c>
      <c r="E285" t="str">
        <v>GARCIA VITOR</v>
      </c>
      <c r="F285" t="str">
        <v xml:space="preserve">ARTRO CADERA </v>
      </c>
      <c r="G285" t="str">
        <v xml:space="preserve">PTC HIBRIDA </v>
      </c>
      <c r="H285" t="str">
        <v>IP MAGNA</v>
      </c>
      <c r="I285" t="str">
        <v>ACEPTADO</v>
      </c>
      <c r="J285" t="str">
        <v xml:space="preserve">EL PALENQUE </v>
      </c>
      <c r="K285" t="str">
        <v>PAMI</v>
      </c>
      <c r="L285">
        <v>0</v>
      </c>
    </row>
    <row r="286" spans="2:12" x14ac:dyDescent="0.25">
      <c r="B286">
        <v>45244</v>
      </c>
      <c r="C286" t="str">
        <v>PODVERSICH BRIAN</v>
      </c>
      <c r="D286">
        <v>23</v>
      </c>
      <c r="E286" t="str">
        <v>GARCIA VITOR</v>
      </c>
      <c r="F286" t="str">
        <v>LCA</v>
      </c>
      <c r="G286" t="str">
        <v xml:space="preserve">TORNILLOS INTERF </v>
      </c>
      <c r="H286" t="str">
        <v xml:space="preserve">VILLALBA </v>
      </c>
      <c r="I286" t="str">
        <v>ACEPTADO</v>
      </c>
      <c r="J286" t="str">
        <v>PARANÁ</v>
      </c>
      <c r="K286" t="str">
        <v>PAMI</v>
      </c>
      <c r="L286">
        <v>0</v>
      </c>
    </row>
    <row r="287" spans="2:12" x14ac:dyDescent="0.25">
      <c r="B287">
        <v>45244</v>
      </c>
      <c r="C287" t="str">
        <v xml:space="preserve">SIRTORI SILVIA </v>
      </c>
      <c r="D287">
        <v>76</v>
      </c>
      <c r="E287" t="str">
        <v>COLLOMB</v>
      </c>
      <c r="F287" t="str">
        <v xml:space="preserve">FX HUMERO </v>
      </c>
      <c r="G287" t="str">
        <v>P. PHILOS /CLAVO</v>
      </c>
      <c r="H287" t="str">
        <v xml:space="preserve">VILLALBA </v>
      </c>
      <c r="I287" t="str">
        <v>ACEPTADO</v>
      </c>
      <c r="J287" t="str">
        <v>PARANÁ</v>
      </c>
      <c r="K287" t="str">
        <v>PAMI</v>
      </c>
      <c r="L287">
        <v>0</v>
      </c>
    </row>
    <row r="288" spans="2:12" x14ac:dyDescent="0.25">
      <c r="B288">
        <v>45244</v>
      </c>
      <c r="C288" t="str">
        <v>ALLEGRINI HAYDEE</v>
      </c>
      <c r="D288">
        <v>69</v>
      </c>
      <c r="E288" t="str">
        <v>VENTURI</v>
      </c>
      <c r="F288" t="str">
        <v xml:space="preserve">FX HUMERO </v>
      </c>
      <c r="G288" t="str">
        <v>P. PHILOS /CLAVO</v>
      </c>
      <c r="H288" t="str">
        <v xml:space="preserve">VILLALBA </v>
      </c>
      <c r="I288" t="str">
        <v>ACEPTADO</v>
      </c>
      <c r="J288" t="str">
        <v>PARANÁ</v>
      </c>
      <c r="K288" t="str">
        <v>PAMI</v>
      </c>
      <c r="L288">
        <v>0</v>
      </c>
    </row>
    <row r="289" spans="2:12" x14ac:dyDescent="0.25">
      <c r="B289">
        <v>45246</v>
      </c>
      <c r="C289" t="str">
        <v>DIAZ MARCELO</v>
      </c>
      <c r="D289">
        <v>48</v>
      </c>
      <c r="E289" t="str">
        <v>YACOMO</v>
      </c>
      <c r="F289" t="str">
        <v xml:space="preserve">GONARTROSIS </v>
      </c>
      <c r="G289" t="str">
        <v xml:space="preserve">PTR ANATOMICA </v>
      </c>
      <c r="H289">
        <v>0</v>
      </c>
      <c r="I289" t="str">
        <v>ACEPTADO</v>
      </c>
      <c r="J289" t="str">
        <v>PARANÁ</v>
      </c>
      <c r="K289" t="str">
        <v>S/M</v>
      </c>
      <c r="L289">
        <v>0</v>
      </c>
    </row>
    <row r="290" spans="2:12" x14ac:dyDescent="0.25">
      <c r="B290">
        <v>45247</v>
      </c>
      <c r="C290" t="str">
        <v>MOREIRA HORACIO</v>
      </c>
      <c r="D290">
        <v>69</v>
      </c>
      <c r="E290" t="str">
        <v xml:space="preserve">URANGA </v>
      </c>
      <c r="F290" t="str">
        <v xml:space="preserve">ESCOLIOSIS </v>
      </c>
      <c r="G290" t="str">
        <v>BARRAS/TORN/PLIF</v>
      </c>
      <c r="H290" t="str">
        <v>IP MAGNA</v>
      </c>
      <c r="I290" t="str">
        <v xml:space="preserve">VIA ESCEPCION </v>
      </c>
      <c r="J290" t="str">
        <v>PARANÁ</v>
      </c>
      <c r="K290" t="str">
        <v>PAMI</v>
      </c>
      <c r="L290">
        <v>0</v>
      </c>
    </row>
    <row r="291" spans="2:12" x14ac:dyDescent="0.25">
      <c r="B291">
        <v>45247</v>
      </c>
      <c r="C291" t="str">
        <v xml:space="preserve">IANCOVICH OSCAR </v>
      </c>
      <c r="D291">
        <v>61</v>
      </c>
      <c r="E291" t="str">
        <v xml:space="preserve">URANGA </v>
      </c>
      <c r="F291" t="str">
        <v xml:space="preserve">ESCOLIOSIS </v>
      </c>
      <c r="G291" t="str">
        <v>BARRAS/TORN/PLIF</v>
      </c>
      <c r="H291" t="str">
        <v>INICIADO</v>
      </c>
      <c r="I291" t="str">
        <v>ACEPTADO</v>
      </c>
      <c r="J291" t="str">
        <v>PARANÁ</v>
      </c>
      <c r="K291" t="str">
        <v>S/M</v>
      </c>
      <c r="L291">
        <v>0</v>
      </c>
    </row>
    <row r="292" spans="2:12" x14ac:dyDescent="0.25">
      <c r="B292">
        <v>45247</v>
      </c>
      <c r="C292" t="str">
        <v>CANTERO OSCAR</v>
      </c>
      <c r="D292">
        <v>36</v>
      </c>
      <c r="E292" t="str">
        <v xml:space="preserve">URANGA </v>
      </c>
      <c r="F292" t="str">
        <v xml:space="preserve">ESCOLIOSIS </v>
      </c>
      <c r="G292" t="str">
        <v>BARRAS/TORN/PLIF</v>
      </c>
      <c r="H292" t="str">
        <v>INICIADO</v>
      </c>
      <c r="I292" t="str">
        <v>ACEPTADO</v>
      </c>
      <c r="J292" t="str">
        <v xml:space="preserve">CONCORDIA </v>
      </c>
      <c r="K292" t="str">
        <v>S/M</v>
      </c>
      <c r="L292">
        <v>0</v>
      </c>
    </row>
    <row r="293" spans="2:12" x14ac:dyDescent="0.25">
      <c r="B293">
        <v>45247</v>
      </c>
      <c r="C293" t="str">
        <v xml:space="preserve">ZAPATA NELIDA </v>
      </c>
      <c r="D293">
        <v>65</v>
      </c>
      <c r="E293" t="str">
        <v xml:space="preserve">URANGA </v>
      </c>
      <c r="F293" t="str">
        <v xml:space="preserve">ESCOLIOSIS </v>
      </c>
      <c r="G293" t="str">
        <v>BARRAS/TORN/PLIF</v>
      </c>
      <c r="H293" t="str">
        <v>IP MAGNA</v>
      </c>
      <c r="I293" t="str">
        <v>RECHAZADO</v>
      </c>
      <c r="J293" t="str">
        <v>PARANÁ</v>
      </c>
      <c r="K293" t="str">
        <v>PAMI</v>
      </c>
      <c r="L293">
        <v>0</v>
      </c>
    </row>
    <row r="294" spans="2:12" x14ac:dyDescent="0.25">
      <c r="B294">
        <v>45247</v>
      </c>
      <c r="C294" t="str">
        <v xml:space="preserve">ALBORNOZ SIMON </v>
      </c>
      <c r="D294">
        <v>69</v>
      </c>
      <c r="E294" t="str">
        <v>STOPELLO</v>
      </c>
      <c r="F294" t="str">
        <v>AFLOJ. PROTES</v>
      </c>
      <c r="G294" t="str">
        <v xml:space="preserve">ESPACIADOR </v>
      </c>
      <c r="H294" t="str">
        <v xml:space="preserve">VILLALBA </v>
      </c>
      <c r="I294" t="str">
        <v>ACEPTADO</v>
      </c>
      <c r="J294" t="str">
        <v>PARANÁ</v>
      </c>
      <c r="K294" t="str">
        <v>PAMI</v>
      </c>
      <c r="L294">
        <v>0</v>
      </c>
    </row>
    <row r="295" spans="2:12" x14ac:dyDescent="0.25">
      <c r="B295">
        <v>45251</v>
      </c>
      <c r="C295" t="str">
        <v>LOPEZ MIGUEL</v>
      </c>
      <c r="D295">
        <v>72</v>
      </c>
      <c r="E295" t="str">
        <v>COLLOMB</v>
      </c>
      <c r="F295" t="str">
        <v xml:space="preserve">RUP.TENDON </v>
      </c>
      <c r="G295" t="str">
        <v xml:space="preserve">ARPONES </v>
      </c>
      <c r="H295" t="str">
        <v xml:space="preserve">VILLALBA </v>
      </c>
      <c r="I295" t="str">
        <v>ACEPTADO</v>
      </c>
      <c r="J295" t="str">
        <v>PARANÁ</v>
      </c>
      <c r="K295" t="str">
        <v>PAMI</v>
      </c>
      <c r="L295">
        <v>0</v>
      </c>
    </row>
    <row r="296" spans="2:12" x14ac:dyDescent="0.25">
      <c r="B296">
        <v>45251</v>
      </c>
      <c r="C296" t="str">
        <v>CAMPOS MARGARITA</v>
      </c>
      <c r="D296">
        <v>70</v>
      </c>
      <c r="E296" t="str">
        <v>COLLOMB</v>
      </c>
      <c r="F296" t="str">
        <v xml:space="preserve">FX HUMERO </v>
      </c>
      <c r="G296" t="str">
        <v xml:space="preserve">P.PHILOS </v>
      </c>
      <c r="H296" t="str">
        <v xml:space="preserve">VILLALBA </v>
      </c>
      <c r="I296" t="str">
        <v>ACEPTADO</v>
      </c>
      <c r="J296" t="str">
        <v>PARANÁ</v>
      </c>
      <c r="K296" t="str">
        <v>PAMI</v>
      </c>
      <c r="L296">
        <v>0</v>
      </c>
    </row>
    <row r="297" spans="2:12" x14ac:dyDescent="0.25">
      <c r="B297">
        <v>45253</v>
      </c>
      <c r="C297" t="str">
        <v>WILD RAUL HUGO</v>
      </c>
      <c r="D297">
        <v>69</v>
      </c>
      <c r="E297" t="str">
        <v>CESAR MEYNET</v>
      </c>
      <c r="F297" t="str">
        <v xml:space="preserve">GONARTROSIS </v>
      </c>
      <c r="G297" t="str">
        <v xml:space="preserve">PTR ANATOMICA </v>
      </c>
      <c r="H297" t="str">
        <v>IP MAGNA</v>
      </c>
      <c r="I297" t="str">
        <v>ACEPTADO</v>
      </c>
      <c r="J297" t="str">
        <v xml:space="preserve">HERNANDARIAS </v>
      </c>
      <c r="K297" t="str">
        <v>PAMI</v>
      </c>
      <c r="L297">
        <v>0</v>
      </c>
    </row>
    <row r="298" spans="2:12" x14ac:dyDescent="0.25">
      <c r="B298">
        <v>45253</v>
      </c>
      <c r="C298" t="str">
        <v>ERNST ANA MARCIANA</v>
      </c>
      <c r="D298">
        <v>73</v>
      </c>
      <c r="E298" t="str">
        <v>CESAR MEYNET</v>
      </c>
      <c r="F298" t="str">
        <v xml:space="preserve">GONARTROSIS </v>
      </c>
      <c r="G298" t="str">
        <v xml:space="preserve">PTR ANATOMICA </v>
      </c>
      <c r="H298" t="str">
        <v xml:space="preserve">VILLALBA </v>
      </c>
      <c r="I298" t="str">
        <v>ACEPTADO</v>
      </c>
      <c r="J298" t="str">
        <v>PARANÁ</v>
      </c>
      <c r="K298" t="str">
        <v>PAMI</v>
      </c>
      <c r="L298">
        <v>0</v>
      </c>
    </row>
    <row r="299" spans="2:12" x14ac:dyDescent="0.25">
      <c r="B299">
        <v>45253</v>
      </c>
      <c r="C299" t="str">
        <v xml:space="preserve">ARREDONDO GISELA </v>
      </c>
      <c r="D299">
        <v>38</v>
      </c>
      <c r="E299" t="str">
        <v>CATRIEL GODOY</v>
      </c>
      <c r="F299">
        <v>0</v>
      </c>
      <c r="G299" t="str">
        <v xml:space="preserve">ARPONES </v>
      </c>
      <c r="H299">
        <v>0</v>
      </c>
      <c r="I299" t="str">
        <v>ACEPTADO</v>
      </c>
      <c r="J299" t="str">
        <v>PARANÁ</v>
      </c>
      <c r="K299" t="str">
        <v>S/M</v>
      </c>
      <c r="L299">
        <v>0</v>
      </c>
    </row>
    <row r="300" spans="2:12" x14ac:dyDescent="0.25">
      <c r="B300">
        <v>45254</v>
      </c>
      <c r="C300" t="str">
        <v xml:space="preserve">RIQUELME RODRIGO </v>
      </c>
      <c r="D300">
        <v>22</v>
      </c>
      <c r="E300" t="str">
        <v>PELEGRINI</v>
      </c>
      <c r="F300" t="str">
        <v>LCA</v>
      </c>
      <c r="G300" t="str">
        <v xml:space="preserve">TORNILLOS INTERF BOTON </v>
      </c>
      <c r="H300">
        <v>0</v>
      </c>
      <c r="I300" t="str">
        <v xml:space="preserve">INICIADO </v>
      </c>
      <c r="J300" t="str">
        <v>FEDERAL</v>
      </c>
      <c r="K300" t="str">
        <v>S/M</v>
      </c>
      <c r="L300">
        <v>0</v>
      </c>
    </row>
    <row r="301" spans="2:12" x14ac:dyDescent="0.25">
      <c r="B301">
        <v>45254</v>
      </c>
      <c r="C301" t="str">
        <v xml:space="preserve">CABO PEREZ JOSE </v>
      </c>
      <c r="D301">
        <v>23</v>
      </c>
      <c r="E301" t="str">
        <v>PELEGRINI</v>
      </c>
      <c r="F301" t="str">
        <v>LCA</v>
      </c>
      <c r="G301" t="str">
        <v xml:space="preserve">TORNILLOS INTERF BOTON </v>
      </c>
      <c r="H301">
        <v>0</v>
      </c>
      <c r="I301" t="str">
        <v xml:space="preserve">INICIADO </v>
      </c>
      <c r="J301" t="str">
        <v>C DEL URUGUAY</v>
      </c>
      <c r="K301" t="str">
        <v>S/M</v>
      </c>
      <c r="L301">
        <v>0</v>
      </c>
    </row>
    <row r="302" spans="2:12" x14ac:dyDescent="0.25">
      <c r="B302">
        <v>45254</v>
      </c>
      <c r="C302" t="str">
        <v xml:space="preserve">MUJICA MARTA </v>
      </c>
      <c r="D302">
        <v>85</v>
      </c>
      <c r="E302" t="str">
        <v>UCEDO</v>
      </c>
      <c r="F302" t="str">
        <v>REV OSTEOS</v>
      </c>
      <c r="G302" t="str">
        <v xml:space="preserve">C. PLAC DHS </v>
      </c>
      <c r="H302" t="str">
        <v xml:space="preserve">VILLALBA </v>
      </c>
      <c r="I302" t="str">
        <v>ACEPTADO</v>
      </c>
      <c r="J302" t="str">
        <v>PARANÁ</v>
      </c>
      <c r="K302" t="str">
        <v>PAMI</v>
      </c>
      <c r="L302">
        <v>0</v>
      </c>
    </row>
    <row r="303" spans="2:12" x14ac:dyDescent="0.25">
      <c r="B303">
        <v>45257</v>
      </c>
      <c r="C303" t="str">
        <v>CARRUEGO ISABEL</v>
      </c>
      <c r="D303">
        <v>72</v>
      </c>
      <c r="E303" t="str">
        <v>COLLOMB</v>
      </c>
      <c r="F303" t="str">
        <v xml:space="preserve">FX CADERA </v>
      </c>
      <c r="G303" t="str">
        <v>CLAVO GAMMA</v>
      </c>
      <c r="H303" t="str">
        <v xml:space="preserve">VILLALBA </v>
      </c>
      <c r="I303" t="str">
        <v>ACEPTADO</v>
      </c>
      <c r="J303" t="str">
        <v>PARANÁ</v>
      </c>
      <c r="K303" t="str">
        <v>PAMI</v>
      </c>
      <c r="L303">
        <v>0</v>
      </c>
    </row>
    <row r="304" spans="2:12" x14ac:dyDescent="0.25">
      <c r="B304">
        <v>45257</v>
      </c>
      <c r="C304" t="str">
        <v>CARRUEGO ISABEL</v>
      </c>
      <c r="D304">
        <v>72</v>
      </c>
      <c r="E304" t="str">
        <v>COLLOMB</v>
      </c>
      <c r="F304" t="str">
        <v xml:space="preserve">FX MUÑECA </v>
      </c>
      <c r="G304" t="str">
        <v>PLACA VOLAR</v>
      </c>
      <c r="H304" t="str">
        <v xml:space="preserve">VILLALBA </v>
      </c>
      <c r="I304" t="str">
        <v>ACEPTADO</v>
      </c>
      <c r="J304" t="str">
        <v>PARANÁ</v>
      </c>
      <c r="K304" t="str">
        <v>PAMI</v>
      </c>
      <c r="L304">
        <v>0</v>
      </c>
    </row>
    <row r="305" spans="2:12" x14ac:dyDescent="0.25">
      <c r="B305">
        <v>45257</v>
      </c>
      <c r="C305" t="str">
        <v xml:space="preserve">EICHHORN NORMA </v>
      </c>
      <c r="D305">
        <v>78</v>
      </c>
      <c r="E305" t="str">
        <v>COLLOMB</v>
      </c>
      <c r="F305" t="str">
        <v xml:space="preserve">FX CADERA </v>
      </c>
      <c r="G305" t="str">
        <v>CLAVO DHS</v>
      </c>
      <c r="H305" t="str">
        <v xml:space="preserve">VILLALBA </v>
      </c>
      <c r="I305" t="str">
        <v>ACEPTADO</v>
      </c>
      <c r="J305" t="str">
        <v>PARANÁ</v>
      </c>
      <c r="K305" t="str">
        <v>PAMI</v>
      </c>
      <c r="L305">
        <v>0</v>
      </c>
    </row>
    <row r="306" spans="2:12" x14ac:dyDescent="0.25">
      <c r="B306">
        <v>45258</v>
      </c>
      <c r="C306" t="str">
        <v>MORKEL LUISA</v>
      </c>
      <c r="D306">
        <v>87</v>
      </c>
      <c r="E306" t="str">
        <v>COLLOMB</v>
      </c>
      <c r="F306" t="str">
        <v xml:space="preserve">FX CADERA </v>
      </c>
      <c r="G306" t="str">
        <v>CLAVO GAMMA</v>
      </c>
      <c r="H306" t="str">
        <v>VILLALBA</v>
      </c>
      <c r="I306" t="str">
        <v>ACEPTADO</v>
      </c>
      <c r="J306" t="str">
        <v>PARANÁ</v>
      </c>
      <c r="K306" t="str">
        <v>PAMI</v>
      </c>
      <c r="L306">
        <v>0</v>
      </c>
    </row>
    <row r="307" spans="2:12" x14ac:dyDescent="0.25">
      <c r="B307">
        <v>45260</v>
      </c>
      <c r="C307" t="str">
        <v xml:space="preserve">FERNANDEZ RAMONA </v>
      </c>
      <c r="D307">
        <v>81</v>
      </c>
      <c r="E307" t="str">
        <v>GARCIA VITOR</v>
      </c>
      <c r="F307" t="str">
        <v>AFLOJ. PROTES</v>
      </c>
      <c r="G307" t="str">
        <v xml:space="preserve">PTC CEMENT/ COTILO D </v>
      </c>
      <c r="H307" t="str">
        <v>VILLALBA</v>
      </c>
      <c r="I307" t="str">
        <v>ACEPTADO</v>
      </c>
      <c r="J307" t="str">
        <v>LA PAZ</v>
      </c>
      <c r="K307" t="str">
        <v>PAMI</v>
      </c>
      <c r="L307">
        <v>0</v>
      </c>
    </row>
    <row r="308" spans="2:12" x14ac:dyDescent="0.25">
      <c r="B308">
        <v>45260</v>
      </c>
      <c r="C308" t="str">
        <v xml:space="preserve">SAAVEDRA RUBEN </v>
      </c>
      <c r="D308">
        <v>23</v>
      </c>
      <c r="E308" t="str">
        <v>YACOMO</v>
      </c>
      <c r="F308" t="str">
        <v>LCA</v>
      </c>
      <c r="G308" t="str">
        <v xml:space="preserve">TORNILLOS INTERF BOTON </v>
      </c>
      <c r="H308">
        <v>0</v>
      </c>
      <c r="I308" t="str">
        <v xml:space="preserve">INICIADO </v>
      </c>
      <c r="J308" t="str">
        <v>FEDERAL</v>
      </c>
      <c r="K308" t="str">
        <v>S/M</v>
      </c>
      <c r="L308">
        <v>0</v>
      </c>
    </row>
    <row r="309" spans="2:12" x14ac:dyDescent="0.25">
      <c r="B309">
        <v>45260</v>
      </c>
      <c r="C309" t="str">
        <v xml:space="preserve">OVIEDO JUAN </v>
      </c>
      <c r="D309">
        <v>52</v>
      </c>
      <c r="E309" t="str">
        <v>CATRIEL GODOY</v>
      </c>
      <c r="F309" t="str">
        <v xml:space="preserve">NOA </v>
      </c>
      <c r="G309" t="str">
        <v>PTC NO CEMENT</v>
      </c>
      <c r="H309">
        <v>0</v>
      </c>
      <c r="I309" t="str">
        <v xml:space="preserve">INICIADO </v>
      </c>
      <c r="J309" t="str">
        <v>LUCAS GONZALEZ</v>
      </c>
      <c r="K309" t="str">
        <v>S/M</v>
      </c>
      <c r="L309">
        <v>0</v>
      </c>
    </row>
    <row r="310" spans="2:12" x14ac:dyDescent="0.25">
      <c r="B310">
        <v>45264</v>
      </c>
      <c r="C310" t="str">
        <v xml:space="preserve">GUZMAN GLORIA </v>
      </c>
      <c r="D310">
        <v>61</v>
      </c>
      <c r="E310" t="str">
        <v>UCEDO</v>
      </c>
      <c r="F310" t="str">
        <v>HALLUX VALGO</v>
      </c>
      <c r="G310" t="str">
        <v>TOR.TIPO BAROUK</v>
      </c>
      <c r="H310" t="str">
        <v xml:space="preserve">VILLALBA </v>
      </c>
      <c r="I310" t="str">
        <v>ACEPTADO</v>
      </c>
      <c r="J310" t="str">
        <v>PARANÁ</v>
      </c>
      <c r="K310" t="str">
        <v>PAMI</v>
      </c>
      <c r="L310">
        <v>0</v>
      </c>
    </row>
    <row r="311" spans="2:12" x14ac:dyDescent="0.25">
      <c r="B311">
        <v>45264</v>
      </c>
      <c r="C311" t="str">
        <v xml:space="preserve">PATRIARCA STELLA MARIS </v>
      </c>
      <c r="D311">
        <v>66</v>
      </c>
      <c r="E311" t="str">
        <v>UCEDO</v>
      </c>
      <c r="F311" t="str">
        <v>HALLUX VALGO</v>
      </c>
      <c r="G311" t="str">
        <v>TOR.TIPO BAROUK</v>
      </c>
      <c r="H311" t="str">
        <v xml:space="preserve">VILLALBA </v>
      </c>
      <c r="I311" t="str">
        <v>ACEPTADO</v>
      </c>
      <c r="J311" t="str">
        <v>PARANÁ</v>
      </c>
      <c r="K311" t="str">
        <v>PAMI</v>
      </c>
      <c r="L311">
        <v>0</v>
      </c>
    </row>
    <row r="312" spans="2:12" x14ac:dyDescent="0.25">
      <c r="B312">
        <v>45266</v>
      </c>
      <c r="C312" t="str">
        <v xml:space="preserve">CORREA PATRICIA </v>
      </c>
      <c r="D312">
        <v>57</v>
      </c>
      <c r="E312" t="str">
        <v>RESIDENTES</v>
      </c>
      <c r="F312" t="str">
        <v xml:space="preserve">FX MUÑECA </v>
      </c>
      <c r="G312" t="str">
        <v>PLACA VOLAR</v>
      </c>
      <c r="H312" t="str">
        <v>X BANCO</v>
      </c>
      <c r="I312" t="str">
        <v>INICIADO</v>
      </c>
      <c r="J312" t="str">
        <v xml:space="preserve">DIAMANTE </v>
      </c>
      <c r="K312" t="str">
        <v>S/M</v>
      </c>
      <c r="L312">
        <v>0</v>
      </c>
    </row>
    <row r="313" spans="2:12" x14ac:dyDescent="0.25">
      <c r="B313">
        <v>45267</v>
      </c>
      <c r="C313" t="str">
        <v xml:space="preserve">GIMENEZ ROSA </v>
      </c>
      <c r="D313">
        <v>39</v>
      </c>
      <c r="E313" t="str">
        <v>YACOMO</v>
      </c>
      <c r="F313" t="str">
        <v xml:space="preserve">LCA </v>
      </c>
      <c r="G313" t="str">
        <v>TOR/BOTON CORT</v>
      </c>
      <c r="H313">
        <v>0</v>
      </c>
      <c r="I313" t="str">
        <v>INICIADO</v>
      </c>
      <c r="J313" t="str">
        <v>VILLAGUAY</v>
      </c>
      <c r="K313" t="str">
        <v>S/M</v>
      </c>
      <c r="L313">
        <v>0</v>
      </c>
    </row>
    <row r="314" spans="2:12" x14ac:dyDescent="0.25">
      <c r="B314">
        <v>45271</v>
      </c>
      <c r="C314" t="str">
        <v xml:space="preserve">GODOY HECTOR </v>
      </c>
      <c r="D314">
        <v>77</v>
      </c>
      <c r="E314" t="str">
        <v>GARCIA VITOR</v>
      </c>
      <c r="F314" t="str">
        <v>GENU VALGO</v>
      </c>
      <c r="G314" t="str">
        <v xml:space="preserve">PTR ANATOMICA </v>
      </c>
      <c r="H314" t="str">
        <v xml:space="preserve">VILLALBA </v>
      </c>
      <c r="I314" t="str">
        <v>ACEPTADO</v>
      </c>
      <c r="J314" t="str">
        <v>PARANÁ</v>
      </c>
      <c r="K314" t="str">
        <v>PAMI</v>
      </c>
      <c r="L314">
        <v>0</v>
      </c>
    </row>
    <row r="315" spans="2:12" x14ac:dyDescent="0.25">
      <c r="B315">
        <v>45271</v>
      </c>
      <c r="C315" t="str">
        <v>SILVA CARMELO</v>
      </c>
      <c r="D315">
        <v>82</v>
      </c>
      <c r="E315" t="str">
        <v>GARCIA VITOR</v>
      </c>
      <c r="F315" t="str">
        <v>GONARTROSIS</v>
      </c>
      <c r="G315" t="str">
        <v xml:space="preserve">PTR ANATOMICA </v>
      </c>
      <c r="H315" t="str">
        <v xml:space="preserve">VILLALBA </v>
      </c>
      <c r="I315" t="str">
        <v>SUSPENDIDO</v>
      </c>
      <c r="J315" t="str">
        <v>PARANÁ</v>
      </c>
      <c r="K315" t="str">
        <v>PAMI</v>
      </c>
      <c r="L315">
        <v>0</v>
      </c>
    </row>
    <row r="316" spans="2:12" x14ac:dyDescent="0.25">
      <c r="B316">
        <v>45271</v>
      </c>
      <c r="C316" t="str">
        <v xml:space="preserve">WAGNER OLGA </v>
      </c>
      <c r="D316">
        <v>75</v>
      </c>
      <c r="E316" t="str">
        <v>GARCIA VITOR</v>
      </c>
      <c r="F316" t="str">
        <v>AFLOJ ACEPTICO</v>
      </c>
      <c r="G316" t="str">
        <v xml:space="preserve">PTR REVISION </v>
      </c>
      <c r="H316" t="str">
        <v xml:space="preserve">VILLALBA </v>
      </c>
      <c r="I316" t="str">
        <v>ACEPTADO</v>
      </c>
      <c r="J316" t="str">
        <v>PARANÁ</v>
      </c>
      <c r="K316" t="str">
        <v>PAMI</v>
      </c>
      <c r="L316">
        <v>0</v>
      </c>
    </row>
    <row r="317" spans="2:12" x14ac:dyDescent="0.25">
      <c r="B317">
        <v>45272</v>
      </c>
      <c r="C317" t="str">
        <v xml:space="preserve">BARROSO JOSEFA </v>
      </c>
      <c r="D317">
        <v>94</v>
      </c>
      <c r="E317" t="str">
        <v>COLLOMB</v>
      </c>
      <c r="F317" t="str">
        <v xml:space="preserve">FX CADERA  </v>
      </c>
      <c r="G317" t="str">
        <v xml:space="preserve">PPC THOMPSON </v>
      </c>
      <c r="H317" t="str">
        <v xml:space="preserve">VILLALBA </v>
      </c>
      <c r="I317" t="str">
        <v>ACEPTADO</v>
      </c>
      <c r="J317" t="str">
        <v>PARANÁ</v>
      </c>
      <c r="K317" t="str">
        <v>PAMI</v>
      </c>
      <c r="L317">
        <v>0</v>
      </c>
    </row>
    <row r="318" spans="2:12" x14ac:dyDescent="0.25">
      <c r="B318">
        <v>45272</v>
      </c>
      <c r="C318" t="str">
        <v xml:space="preserve">GONZALEZ  LILIANA </v>
      </c>
      <c r="D318">
        <v>66</v>
      </c>
      <c r="E318" t="str">
        <v>CATRIEL GODOY</v>
      </c>
      <c r="F318" t="str">
        <v>RUPT MANG.ROT</v>
      </c>
      <c r="G318" t="str">
        <v>ARPONES</v>
      </c>
      <c r="H318" t="str">
        <v>VILLALBA</v>
      </c>
      <c r="I318" t="str">
        <v>ACEPTADO</v>
      </c>
      <c r="J318" t="str">
        <v>PARANÁ</v>
      </c>
      <c r="K318" t="str">
        <v>PAMI</v>
      </c>
      <c r="L318">
        <v>0</v>
      </c>
    </row>
    <row r="319" spans="2:12" x14ac:dyDescent="0.25">
      <c r="B319">
        <v>45272</v>
      </c>
      <c r="C319" t="str">
        <v xml:space="preserve">FERNANDEZ RAMONA </v>
      </c>
      <c r="D319">
        <v>81</v>
      </c>
      <c r="E319" t="str">
        <v>GARCIA VITOR</v>
      </c>
      <c r="F319" t="str">
        <v>FX CADERA</v>
      </c>
      <c r="G319" t="str">
        <v>PTC CEMEN/COTILO</v>
      </c>
      <c r="H319" t="str">
        <v xml:space="preserve">VILLALBA </v>
      </c>
      <c r="I319" t="str">
        <v>ACEPTADO</v>
      </c>
      <c r="J319" t="str">
        <v>PARANÁ</v>
      </c>
      <c r="K319" t="str">
        <v>PAMI</v>
      </c>
      <c r="L319">
        <v>0</v>
      </c>
    </row>
    <row r="320" spans="2:12" x14ac:dyDescent="0.25">
      <c r="B320">
        <v>45272</v>
      </c>
      <c r="C320" t="str">
        <v xml:space="preserve">HAEDO  NELIDA </v>
      </c>
      <c r="D320">
        <v>0</v>
      </c>
      <c r="E320" t="str">
        <v xml:space="preserve">HERMIDA </v>
      </c>
      <c r="F320" t="str">
        <v>AFLOJ PRT</v>
      </c>
      <c r="G320" t="str">
        <v xml:space="preserve">PTC HIBRIDA </v>
      </c>
      <c r="H320" t="str">
        <v xml:space="preserve">VILLALBA </v>
      </c>
      <c r="I320" t="str">
        <v>ACEPTADO</v>
      </c>
      <c r="J320" t="str">
        <v>PARANÁ</v>
      </c>
      <c r="K320" t="str">
        <v>PAMI</v>
      </c>
      <c r="L320">
        <v>0</v>
      </c>
    </row>
    <row r="321" spans="2:12" x14ac:dyDescent="0.25">
      <c r="B321">
        <v>45273</v>
      </c>
      <c r="C321" t="str">
        <v xml:space="preserve">RION JUANA </v>
      </c>
      <c r="D321">
        <v>69</v>
      </c>
      <c r="E321" t="str">
        <v>COLLOMB</v>
      </c>
      <c r="F321" t="str">
        <v>FX FEMUR</v>
      </c>
      <c r="G321" t="str">
        <v>PLACA DISTAL/TORN/CLAVO</v>
      </c>
      <c r="H321" t="str">
        <v xml:space="preserve">VILLALBA </v>
      </c>
      <c r="I321" t="str">
        <v>ACEPTADO</v>
      </c>
      <c r="J321" t="str">
        <v>PARANÁ</v>
      </c>
      <c r="K321" t="str">
        <v>PAMI</v>
      </c>
      <c r="L321">
        <v>0</v>
      </c>
    </row>
    <row r="322" spans="2:12" x14ac:dyDescent="0.25">
      <c r="B322">
        <v>45273</v>
      </c>
      <c r="C322" t="str">
        <v>KESSLER ISABEL</v>
      </c>
      <c r="D322">
        <v>80</v>
      </c>
      <c r="E322" t="str">
        <v>COLLOMB</v>
      </c>
      <c r="F322" t="str">
        <v>FX CADERA</v>
      </c>
      <c r="G322" t="str">
        <v>PTC CEMEN/COTILO</v>
      </c>
      <c r="H322" t="str">
        <v xml:space="preserve">VILLALBA </v>
      </c>
      <c r="I322" t="str">
        <v>ACEPTADO</v>
      </c>
      <c r="J322" t="str">
        <v>PARANÁ</v>
      </c>
      <c r="K322" t="str">
        <v>PAMI</v>
      </c>
      <c r="L322">
        <v>0</v>
      </c>
    </row>
    <row r="323" spans="2:12" x14ac:dyDescent="0.25">
      <c r="B323">
        <v>45275</v>
      </c>
      <c r="C323" t="str">
        <v>LELL ANITA</v>
      </c>
      <c r="D323">
        <v>71</v>
      </c>
      <c r="E323" t="str">
        <v>COLLOMB</v>
      </c>
      <c r="F323" t="str">
        <v>FX HUMERO</v>
      </c>
      <c r="G323" t="str">
        <v>PLACA PHILOS</v>
      </c>
      <c r="H323" t="str">
        <v xml:space="preserve">VILLALBA </v>
      </c>
      <c r="I323" t="str">
        <v>ACEPTADO</v>
      </c>
      <c r="J323" t="str">
        <v>PARANÁ</v>
      </c>
      <c r="K323" t="str">
        <v>PAMI</v>
      </c>
      <c r="L323">
        <v>0</v>
      </c>
    </row>
    <row r="324" spans="2:12" x14ac:dyDescent="0.25">
      <c r="B324">
        <v>45275</v>
      </c>
      <c r="C324" t="str">
        <v>MARTINEZ FRANCO</v>
      </c>
      <c r="D324">
        <v>22</v>
      </c>
      <c r="E324" t="str">
        <v>GARCIA VITOR</v>
      </c>
      <c r="F324" t="str">
        <v>LCA</v>
      </c>
      <c r="G324" t="str">
        <v>TOR/BOTON CORT</v>
      </c>
      <c r="H324">
        <v>0</v>
      </c>
      <c r="I324" t="str">
        <v>INICIADO</v>
      </c>
      <c r="J324" t="str">
        <v>DIAMANTE</v>
      </c>
      <c r="K324" t="str">
        <v>S/M</v>
      </c>
      <c r="L324">
        <v>0</v>
      </c>
    </row>
    <row r="325" spans="2:12" x14ac:dyDescent="0.25">
      <c r="B325">
        <v>45275</v>
      </c>
      <c r="C325" t="str">
        <v xml:space="preserve">ALVAREZ JOSE </v>
      </c>
      <c r="D325">
        <v>47</v>
      </c>
      <c r="E325" t="str">
        <v>STOPELLO</v>
      </c>
      <c r="F325" t="str">
        <v>COXARTROSIS</v>
      </c>
      <c r="G325" t="str">
        <v>PTC NO CEMENTADA</v>
      </c>
      <c r="H325">
        <v>0</v>
      </c>
      <c r="I325" t="str">
        <v>INICIADO</v>
      </c>
      <c r="J325" t="str">
        <v>PARANÁ</v>
      </c>
      <c r="K325" t="str">
        <v>S/M</v>
      </c>
      <c r="L325">
        <v>0</v>
      </c>
    </row>
    <row r="326" spans="2:12" x14ac:dyDescent="0.25">
      <c r="B326">
        <v>45275</v>
      </c>
      <c r="C326" t="str">
        <v>CASCO MIRIAM</v>
      </c>
      <c r="D326">
        <v>63</v>
      </c>
      <c r="E326" t="str">
        <v>COLLOMB</v>
      </c>
      <c r="F326" t="str">
        <v>GONARTROSIS</v>
      </c>
      <c r="G326" t="str">
        <v>PTR ANATOMICA</v>
      </c>
      <c r="H326" t="str">
        <v>IP MAGNA</v>
      </c>
      <c r="I326" t="str">
        <v>ACEPTADO</v>
      </c>
      <c r="J326" t="str">
        <v>PARANÁ</v>
      </c>
      <c r="K326" t="str">
        <v>PAMI</v>
      </c>
      <c r="L326">
        <v>0</v>
      </c>
    </row>
    <row r="327" spans="2:12" x14ac:dyDescent="0.25">
      <c r="B327">
        <v>45275</v>
      </c>
      <c r="C327" t="str">
        <v xml:space="preserve">SLOBODZIAN JUAN </v>
      </c>
      <c r="D327">
        <v>66</v>
      </c>
      <c r="E327" t="str">
        <v>COLLOMB</v>
      </c>
      <c r="F327" t="str">
        <v>FX TIB Y PERONE</v>
      </c>
      <c r="G327" t="str">
        <v>PLAC T TUBO/CLAVO</v>
      </c>
      <c r="H327" t="str">
        <v xml:space="preserve">VILLALBA </v>
      </c>
      <c r="I327" t="str">
        <v>ACEPTADO</v>
      </c>
      <c r="J327" t="str">
        <v>PARANÁ</v>
      </c>
      <c r="K327" t="str">
        <v>PAMI</v>
      </c>
      <c r="L327">
        <v>0</v>
      </c>
    </row>
    <row r="328" spans="2:12" x14ac:dyDescent="0.25">
      <c r="B328">
        <v>45275</v>
      </c>
      <c r="C328" t="str">
        <v>GERSTNER VICTORIA</v>
      </c>
      <c r="D328">
        <v>65</v>
      </c>
      <c r="E328" t="str">
        <v>STOPELLO</v>
      </c>
      <c r="F328" t="str">
        <v>COXARTROSIS</v>
      </c>
      <c r="G328" t="str">
        <v>PTC NO CEMENTADA</v>
      </c>
      <c r="H328" t="str">
        <v xml:space="preserve">VILLALBA </v>
      </c>
      <c r="I328" t="str">
        <v>ACEPTADO</v>
      </c>
      <c r="J328" t="str">
        <v>PARANÁ</v>
      </c>
      <c r="K328" t="str">
        <v>PAMI</v>
      </c>
      <c r="L328">
        <v>0</v>
      </c>
    </row>
    <row r="329" spans="2:12" x14ac:dyDescent="0.25">
      <c r="B329">
        <v>45275</v>
      </c>
      <c r="C329" t="str">
        <v xml:space="preserve">SUAREZ JOSEFA </v>
      </c>
      <c r="D329">
        <v>77</v>
      </c>
      <c r="E329" t="str">
        <v>STOPELLO</v>
      </c>
      <c r="F329" t="str">
        <v>GONARTROSIS</v>
      </c>
      <c r="G329" t="str">
        <v>PTR ANATOMICA</v>
      </c>
      <c r="H329" t="str">
        <v xml:space="preserve">VILLALBA </v>
      </c>
      <c r="I329" t="str">
        <v>ACEPTADO</v>
      </c>
      <c r="J329" t="str">
        <v>PARANÁ</v>
      </c>
      <c r="K329" t="str">
        <v>PAMI</v>
      </c>
      <c r="L329">
        <v>0</v>
      </c>
    </row>
    <row r="330" spans="2:12" x14ac:dyDescent="0.25">
      <c r="B330">
        <v>45275</v>
      </c>
      <c r="C330" t="str">
        <v>LARROCHE JUAN</v>
      </c>
      <c r="D330">
        <v>68</v>
      </c>
      <c r="E330" t="str">
        <v>STOPELLO</v>
      </c>
      <c r="F330" t="str">
        <v>COXARTROSIS</v>
      </c>
      <c r="G330" t="str">
        <v>PTC CEMEN/COTILO</v>
      </c>
      <c r="H330" t="str">
        <v>IP MAGNA</v>
      </c>
      <c r="I330" t="str">
        <v>ACEPTADO</v>
      </c>
      <c r="J330" t="str">
        <v>PARANÁ</v>
      </c>
      <c r="K330" t="str">
        <v>PAMI</v>
      </c>
      <c r="L330">
        <v>0</v>
      </c>
    </row>
    <row r="331" spans="2:12" x14ac:dyDescent="0.25">
      <c r="B331">
        <v>45275</v>
      </c>
      <c r="C331" t="str">
        <v xml:space="preserve">FERNANDEZ  DAIANA </v>
      </c>
      <c r="D331">
        <v>17</v>
      </c>
      <c r="E331" t="str">
        <v xml:space="preserve">URANGA </v>
      </c>
      <c r="F331" t="str">
        <v xml:space="preserve">ESCOLIOSIS </v>
      </c>
      <c r="G331" t="str">
        <v>TOR/BARRAS/CLIF</v>
      </c>
      <c r="H331">
        <v>0</v>
      </c>
      <c r="I331" t="str">
        <v>INICIADO</v>
      </c>
      <c r="J331" t="str">
        <v>LA PAZ</v>
      </c>
      <c r="K331" t="str">
        <v>S/M</v>
      </c>
      <c r="L331">
        <v>0</v>
      </c>
    </row>
    <row r="332" spans="2:12" x14ac:dyDescent="0.25">
      <c r="B332">
        <v>45275</v>
      </c>
      <c r="C332" t="str">
        <v xml:space="preserve">SANCHEZ MICAELA </v>
      </c>
      <c r="D332">
        <v>28</v>
      </c>
      <c r="E332">
        <v>0</v>
      </c>
      <c r="F332" t="str">
        <v>LCA</v>
      </c>
      <c r="G332" t="str">
        <v xml:space="preserve">TORN/BOTON </v>
      </c>
      <c r="H332">
        <v>0</v>
      </c>
      <c r="I332" t="str">
        <v>INICIADO</v>
      </c>
      <c r="J332" t="str">
        <v>PARANÁ</v>
      </c>
      <c r="K332" t="str">
        <v>S/M</v>
      </c>
      <c r="L332">
        <v>0</v>
      </c>
    </row>
    <row r="333" spans="2:12" x14ac:dyDescent="0.25">
      <c r="B333">
        <v>45275</v>
      </c>
      <c r="C333" t="str">
        <v xml:space="preserve">BRAVO FLORENCIA </v>
      </c>
      <c r="D333">
        <v>25</v>
      </c>
      <c r="E333">
        <v>0</v>
      </c>
      <c r="F333" t="str">
        <v>LCA</v>
      </c>
      <c r="G333" t="str">
        <v xml:space="preserve">TORN/BOTON </v>
      </c>
      <c r="H333">
        <v>0</v>
      </c>
      <c r="I333" t="str">
        <v>INICIADO</v>
      </c>
      <c r="J333" t="str">
        <v>PARANÁ</v>
      </c>
      <c r="K333" t="str">
        <v>S/M</v>
      </c>
      <c r="L333">
        <v>0</v>
      </c>
    </row>
    <row r="334" spans="2:12" x14ac:dyDescent="0.25">
      <c r="B334">
        <v>45275</v>
      </c>
      <c r="C334" t="str">
        <v>DIEMENT JUDITH</v>
      </c>
      <c r="D334">
        <v>60</v>
      </c>
      <c r="E334" t="str">
        <v>UCEDO</v>
      </c>
      <c r="F334" t="str">
        <v>NECROSIS CAD</v>
      </c>
      <c r="G334" t="str">
        <v>PTC NO CEMENTADA</v>
      </c>
      <c r="H334">
        <v>0</v>
      </c>
      <c r="I334" t="str">
        <v>INICIADO</v>
      </c>
      <c r="J334" t="str">
        <v>PARANÁ</v>
      </c>
      <c r="K334" t="str">
        <v>S/M</v>
      </c>
      <c r="L334">
        <v>0</v>
      </c>
    </row>
    <row r="335" spans="2:12" x14ac:dyDescent="0.25">
      <c r="B335">
        <v>45278</v>
      </c>
      <c r="C335" t="str">
        <v xml:space="preserve">LALLANA MARIA ROSA </v>
      </c>
      <c r="D335">
        <v>60</v>
      </c>
      <c r="E335" t="str">
        <v>UCEDO</v>
      </c>
      <c r="F335" t="str">
        <v>HALLUX VALGO</v>
      </c>
      <c r="G335" t="str">
        <v>TORN BAROUK</v>
      </c>
      <c r="H335">
        <v>0</v>
      </c>
      <c r="I335" t="str">
        <v>INICIADO</v>
      </c>
      <c r="J335" t="str">
        <v>PARANÁ</v>
      </c>
      <c r="K335" t="str">
        <v>S/M</v>
      </c>
      <c r="L335">
        <v>0</v>
      </c>
    </row>
    <row r="336" spans="2:12" x14ac:dyDescent="0.25">
      <c r="B336">
        <v>45280</v>
      </c>
      <c r="C336" t="str">
        <v>OJEDA MARIA LUISA</v>
      </c>
      <c r="D336">
        <v>60</v>
      </c>
      <c r="E336" t="str">
        <v>GARCIA VITOR</v>
      </c>
      <c r="F336" t="str">
        <v>GONARTROSIS</v>
      </c>
      <c r="G336" t="str">
        <v>PTR ANATOMICA</v>
      </c>
      <c r="H336" t="str">
        <v xml:space="preserve">VILLALBA </v>
      </c>
      <c r="I336" t="str">
        <v>ACEPTADO</v>
      </c>
      <c r="J336" t="str">
        <v>PARANÁ</v>
      </c>
      <c r="K336" t="str">
        <v>PAMI</v>
      </c>
      <c r="L336">
        <v>0</v>
      </c>
    </row>
    <row r="337" spans="2:12" x14ac:dyDescent="0.25">
      <c r="B337">
        <v>45281</v>
      </c>
      <c r="C337" t="str">
        <v xml:space="preserve">CASTELLANO KEVIN </v>
      </c>
      <c r="D337">
        <v>16</v>
      </c>
      <c r="E337" t="str">
        <v>YACOMO</v>
      </c>
      <c r="F337" t="str">
        <v>LCA</v>
      </c>
      <c r="G337" t="str">
        <v xml:space="preserve">TRON/BOTON </v>
      </c>
      <c r="H337">
        <v>0</v>
      </c>
      <c r="I337" t="str">
        <v>INICIADO</v>
      </c>
      <c r="J337" t="str">
        <v>LA PAZ</v>
      </c>
      <c r="K337" t="str">
        <v>S/M</v>
      </c>
      <c r="L337">
        <v>0</v>
      </c>
    </row>
    <row r="338" spans="2:12" x14ac:dyDescent="0.25">
      <c r="B338">
        <v>45281</v>
      </c>
      <c r="C338" t="str">
        <v>BENITEZ ANDRES</v>
      </c>
      <c r="D338">
        <v>28</v>
      </c>
      <c r="E338" t="str">
        <v>YACOMO</v>
      </c>
      <c r="F338" t="str">
        <v>LCA</v>
      </c>
      <c r="G338" t="str">
        <v xml:space="preserve">TRON/BOTON </v>
      </c>
      <c r="H338">
        <v>0</v>
      </c>
      <c r="I338" t="str">
        <v>INICIADO</v>
      </c>
      <c r="J338" t="str">
        <v>LA PAZ</v>
      </c>
      <c r="K338" t="str">
        <v>S/M</v>
      </c>
      <c r="L338">
        <v>0</v>
      </c>
    </row>
    <row r="339" spans="2:12" x14ac:dyDescent="0.25">
      <c r="B339">
        <v>45282</v>
      </c>
      <c r="C339" t="str">
        <v>BENITEZ FRANCO</v>
      </c>
      <c r="D339">
        <v>21</v>
      </c>
      <c r="E339" t="str">
        <v>PELEGRINI</v>
      </c>
      <c r="F339" t="str">
        <v>LCA</v>
      </c>
      <c r="G339" t="str">
        <v xml:space="preserve">TRON/BOTON </v>
      </c>
      <c r="H339">
        <v>0</v>
      </c>
      <c r="I339" t="str">
        <v>ACEPTADO</v>
      </c>
      <c r="J339" t="str">
        <v>CRESPO</v>
      </c>
      <c r="K339" t="str">
        <v>S/M</v>
      </c>
      <c r="L339">
        <v>0</v>
      </c>
    </row>
    <row r="340" spans="2:12" x14ac:dyDescent="0.25">
      <c r="B340">
        <v>45286</v>
      </c>
      <c r="C340" t="str">
        <v xml:space="preserve">TORTUL GRACIELA </v>
      </c>
      <c r="D340">
        <v>68</v>
      </c>
      <c r="E340" t="str">
        <v>COLLOMB</v>
      </c>
      <c r="F340" t="str">
        <v>FX FEMUR</v>
      </c>
      <c r="G340" t="str">
        <v>PLACA COND</v>
      </c>
      <c r="H340" t="str">
        <v>VILLALBA</v>
      </c>
      <c r="I340" t="str">
        <v>ACEPTADO</v>
      </c>
      <c r="J340" t="str">
        <v>PARANÁ</v>
      </c>
      <c r="K340" t="str">
        <v>PAMI</v>
      </c>
      <c r="L340">
        <v>0</v>
      </c>
    </row>
    <row r="341" spans="2:12" x14ac:dyDescent="0.25">
      <c r="B341">
        <v>45286</v>
      </c>
      <c r="C341" t="str">
        <v xml:space="preserve">PEREYRA ESTER </v>
      </c>
      <c r="D341">
        <v>67</v>
      </c>
      <c r="E341">
        <v>0</v>
      </c>
      <c r="F341" t="str">
        <v>GONARTROSIS</v>
      </c>
      <c r="G341" t="str">
        <v xml:space="preserve">RTR ANATOMICA </v>
      </c>
      <c r="H341" t="str">
        <v>IP MAGNA</v>
      </c>
      <c r="I341" t="str">
        <v>ACEPTADO</v>
      </c>
      <c r="J341" t="str">
        <v>ALCARAZ</v>
      </c>
      <c r="K341" t="str">
        <v>PAMI</v>
      </c>
      <c r="L341">
        <v>0</v>
      </c>
    </row>
    <row r="342" spans="2:12" x14ac:dyDescent="0.25">
      <c r="B342">
        <v>45293</v>
      </c>
      <c r="C342" t="str">
        <v xml:space="preserve">VALIENTE NELIDA </v>
      </c>
      <c r="D342">
        <v>24</v>
      </c>
      <c r="E342" t="str">
        <v>VENTURI</v>
      </c>
      <c r="F342" t="str">
        <v xml:space="preserve"> </v>
      </c>
      <c r="G342" t="str">
        <v>PLACA LCP</v>
      </c>
      <c r="H342">
        <v>0</v>
      </c>
      <c r="I342" t="str">
        <v xml:space="preserve">INICIADO </v>
      </c>
      <c r="J342" t="str">
        <v xml:space="preserve">FEDERAL </v>
      </c>
      <c r="K342" t="str">
        <v>S/M</v>
      </c>
      <c r="L342">
        <v>0</v>
      </c>
    </row>
    <row r="343" spans="2:12" x14ac:dyDescent="0.25">
      <c r="B343">
        <v>45293</v>
      </c>
      <c r="C343" t="str">
        <v xml:space="preserve">ZAPATA NELIDA </v>
      </c>
      <c r="D343">
        <v>66</v>
      </c>
      <c r="E343" t="str">
        <v xml:space="preserve">URANGA </v>
      </c>
      <c r="F343" t="str">
        <v>ESCOLISIS</v>
      </c>
      <c r="G343" t="str">
        <v>BARRA/TORNI/PLIFF</v>
      </c>
      <c r="H343" t="str">
        <v>IP MAGNA</v>
      </c>
      <c r="I343" t="str">
        <v>ACEPTADO</v>
      </c>
      <c r="J343" t="str">
        <v>LA PAZ</v>
      </c>
      <c r="K343" t="str">
        <v>PAMI</v>
      </c>
      <c r="L343">
        <v>0</v>
      </c>
    </row>
    <row r="344" spans="2:12" x14ac:dyDescent="0.25">
      <c r="B344">
        <v>45293</v>
      </c>
      <c r="C344" t="str">
        <v xml:space="preserve">ORNETTI SUSANA </v>
      </c>
      <c r="D344">
        <v>62</v>
      </c>
      <c r="E344" t="str">
        <v>GARCIA VITOR</v>
      </c>
      <c r="F344" t="str">
        <v>GONARTROSIS</v>
      </c>
      <c r="G344" t="str">
        <v xml:space="preserve">RTR ANATOMICA </v>
      </c>
      <c r="H344" t="str">
        <v>VILLALBA</v>
      </c>
      <c r="I344" t="str">
        <v>ACEPTADO</v>
      </c>
      <c r="J344" t="str">
        <v>PARANÁ</v>
      </c>
      <c r="K344" t="str">
        <v>PAMI</v>
      </c>
      <c r="L344">
        <v>0</v>
      </c>
    </row>
    <row r="345" spans="2:12" x14ac:dyDescent="0.25">
      <c r="B345">
        <v>45295</v>
      </c>
      <c r="C345" t="str">
        <v xml:space="preserve">NIETO PATRICIA </v>
      </c>
      <c r="D345">
        <v>50</v>
      </c>
      <c r="E345" t="str">
        <v>SUKSDORF</v>
      </c>
      <c r="F345" t="str">
        <v>NOA</v>
      </c>
      <c r="G345" t="str">
        <v>PTC NO CEEMNET</v>
      </c>
      <c r="H345">
        <v>0</v>
      </c>
      <c r="I345" t="str">
        <v xml:space="preserve">INICIADO </v>
      </c>
      <c r="J345" t="str">
        <v>PARANÁ</v>
      </c>
      <c r="K345" t="str">
        <v>S/M</v>
      </c>
      <c r="L345">
        <v>0</v>
      </c>
    </row>
    <row r="346" spans="2:12" x14ac:dyDescent="0.25">
      <c r="B346">
        <v>45295</v>
      </c>
      <c r="C346" t="str">
        <v xml:space="preserve">TENTOR JULIO </v>
      </c>
      <c r="D346">
        <v>39</v>
      </c>
      <c r="E346" t="str">
        <v>GARCIA VITOR</v>
      </c>
      <c r="F346" t="str">
        <v>NECROSIS CAD D</v>
      </c>
      <c r="G346" t="str">
        <v>PTC NO CEEMNET</v>
      </c>
      <c r="H346">
        <v>0</v>
      </c>
      <c r="I346" t="str">
        <v xml:space="preserve">INICIADO </v>
      </c>
      <c r="J346" t="str">
        <v>LA PAZ</v>
      </c>
      <c r="K346" t="str">
        <v>S/M</v>
      </c>
      <c r="L346">
        <v>0</v>
      </c>
    </row>
    <row r="347" spans="2:12" x14ac:dyDescent="0.25">
      <c r="B347">
        <v>45295</v>
      </c>
      <c r="C347" t="str">
        <v xml:space="preserve">TENTOR JULIO </v>
      </c>
      <c r="D347">
        <v>39</v>
      </c>
      <c r="E347" t="str">
        <v>GARCIA VITOR</v>
      </c>
      <c r="F347" t="str">
        <v>NECROSIS CAD I</v>
      </c>
      <c r="G347" t="str">
        <v>PTC NO CEEMNET</v>
      </c>
      <c r="H347">
        <v>0</v>
      </c>
      <c r="I347" t="str">
        <v xml:space="preserve">INICIADO </v>
      </c>
      <c r="J347" t="str">
        <v>LA PAZ</v>
      </c>
      <c r="K347" t="str">
        <v>S/M</v>
      </c>
      <c r="L347">
        <v>0</v>
      </c>
    </row>
    <row r="348" spans="2:12" x14ac:dyDescent="0.25">
      <c r="B348">
        <v>45295</v>
      </c>
      <c r="C348" t="str">
        <v>TREPPAN ELENA</v>
      </c>
      <c r="D348">
        <v>72</v>
      </c>
      <c r="E348" t="str">
        <v>JACOB</v>
      </c>
      <c r="F348" t="str">
        <v xml:space="preserve">LUMBOCIATALGIA </v>
      </c>
      <c r="G348" t="str">
        <v>BARRA/TORNI/PLIFF</v>
      </c>
      <c r="H348">
        <v>0</v>
      </c>
      <c r="I348" t="str">
        <v xml:space="preserve">INICIADO </v>
      </c>
      <c r="J348" t="str">
        <v>PARANÁ</v>
      </c>
      <c r="K348" t="str">
        <v>S/M</v>
      </c>
      <c r="L348">
        <v>0</v>
      </c>
    </row>
    <row r="349" spans="2:12" x14ac:dyDescent="0.25">
      <c r="B349">
        <v>45295</v>
      </c>
      <c r="C349" t="str">
        <v xml:space="preserve">TORRES ANA </v>
      </c>
      <c r="D349">
        <v>78</v>
      </c>
      <c r="E349" t="str">
        <v>COLLOMB</v>
      </c>
      <c r="F349" t="str">
        <v>FXFEMUR/MUÑE</v>
      </c>
      <c r="G349" t="str">
        <v>PLACA DOBL/COND/TORN</v>
      </c>
      <c r="H349" t="str">
        <v>VILLALBA</v>
      </c>
      <c r="I349" t="str">
        <v>ACEPTADO</v>
      </c>
      <c r="J349" t="str">
        <v>PARANÁ</v>
      </c>
      <c r="K349" t="str">
        <v>PAMI</v>
      </c>
      <c r="L349">
        <v>0</v>
      </c>
    </row>
    <row r="350" spans="2:12" x14ac:dyDescent="0.25">
      <c r="B350">
        <v>45295</v>
      </c>
      <c r="C350" t="str">
        <v>BARRIOS LIA ZULEMA</v>
      </c>
      <c r="D350">
        <v>64</v>
      </c>
      <c r="E350" t="str">
        <v>STOPELLO</v>
      </c>
      <c r="F350" t="str">
        <v>GONARTROSIS</v>
      </c>
      <c r="G350" t="str">
        <v>PTR ANATOMICA</v>
      </c>
      <c r="H350" t="str">
        <v>IP MAGNA</v>
      </c>
      <c r="I350" t="str">
        <v>ACEPTADO</v>
      </c>
      <c r="J350" t="str">
        <v>PARANÁ</v>
      </c>
      <c r="K350" t="str">
        <v>PAMI</v>
      </c>
      <c r="L350">
        <v>0</v>
      </c>
    </row>
    <row r="351" spans="2:12" x14ac:dyDescent="0.25">
      <c r="B351">
        <v>45296</v>
      </c>
      <c r="C351" t="str">
        <v xml:space="preserve">ACHIABRANDO MANUEL </v>
      </c>
      <c r="D351">
        <v>65</v>
      </c>
      <c r="E351" t="str">
        <v>STOPELLO</v>
      </c>
      <c r="F351" t="str">
        <v>GONARTROSIS</v>
      </c>
      <c r="G351" t="str">
        <v>PTR ANATOMICA</v>
      </c>
      <c r="H351" t="str">
        <v>IP MAGNA</v>
      </c>
      <c r="I351" t="str">
        <v>ACEPTADO</v>
      </c>
      <c r="J351" t="str">
        <v>PARANÁ</v>
      </c>
      <c r="K351" t="str">
        <v>PAMI</v>
      </c>
      <c r="L351">
        <v>0</v>
      </c>
    </row>
    <row r="352" spans="2:12" x14ac:dyDescent="0.25">
      <c r="B352">
        <v>45299</v>
      </c>
      <c r="C352" t="str">
        <v>MAZADRI GREGORIA</v>
      </c>
      <c r="D352">
        <v>88</v>
      </c>
      <c r="E352" t="str">
        <v>COLLOMB</v>
      </c>
      <c r="F352" t="str">
        <v>FX CADERA</v>
      </c>
      <c r="G352" t="str">
        <v>CLAVO GAMMA</v>
      </c>
      <c r="H352" t="str">
        <v>VILLALBA</v>
      </c>
      <c r="I352" t="str">
        <v>ACEPTADO</v>
      </c>
      <c r="J352" t="str">
        <v>PARANÁ</v>
      </c>
      <c r="K352" t="str">
        <v>PAMI</v>
      </c>
      <c r="L352">
        <v>0</v>
      </c>
    </row>
    <row r="353" spans="2:12" x14ac:dyDescent="0.25">
      <c r="B353">
        <v>45299</v>
      </c>
      <c r="C353" t="str">
        <v>ESPINDOLA LEONARDO</v>
      </c>
      <c r="D353">
        <v>46</v>
      </c>
      <c r="E353" t="str">
        <v>UCEDO</v>
      </c>
      <c r="F353" t="str">
        <v>ARTROSIS</v>
      </c>
      <c r="G353" t="str">
        <v>TORN. ESPONJ/ARANDE</v>
      </c>
      <c r="H353">
        <v>0</v>
      </c>
      <c r="I353" t="str">
        <v xml:space="preserve">INICIADO </v>
      </c>
      <c r="J353" t="str">
        <v>PARANÁ</v>
      </c>
      <c r="K353" t="str">
        <v>S/M</v>
      </c>
      <c r="L353">
        <v>0</v>
      </c>
    </row>
    <row r="354" spans="2:12" x14ac:dyDescent="0.25">
      <c r="B354">
        <v>45299</v>
      </c>
      <c r="C354" t="str">
        <v xml:space="preserve">PASUTTI MIRTA </v>
      </c>
      <c r="D354">
        <v>65</v>
      </c>
      <c r="E354" t="str">
        <v>YACOMO</v>
      </c>
      <c r="F354" t="str">
        <v>GENU VARO</v>
      </c>
      <c r="G354" t="str">
        <v>PTR ANATOMICA</v>
      </c>
      <c r="H354" t="str">
        <v>IP MAGNA</v>
      </c>
      <c r="I354" t="str">
        <v>ACEPTADO</v>
      </c>
      <c r="J354" t="str">
        <v>PARANÁ</v>
      </c>
      <c r="K354" t="str">
        <v>PAMI</v>
      </c>
      <c r="L354">
        <v>0</v>
      </c>
    </row>
    <row r="355" spans="2:12" x14ac:dyDescent="0.25">
      <c r="B355">
        <v>45301</v>
      </c>
      <c r="C355" t="str">
        <v xml:space="preserve">FUCHS FLORA </v>
      </c>
      <c r="D355">
        <v>86</v>
      </c>
      <c r="E355" t="str">
        <v>COLLOMB</v>
      </c>
      <c r="F355" t="str">
        <v>FX CADERA</v>
      </c>
      <c r="G355" t="str">
        <v>CLAVO GAMMA</v>
      </c>
      <c r="H355" t="str">
        <v>VILLALBA</v>
      </c>
      <c r="I355" t="str">
        <v>ACEPTADO</v>
      </c>
      <c r="J355" t="str">
        <v>PARANÁ</v>
      </c>
      <c r="K355" t="str">
        <v>PAMI</v>
      </c>
      <c r="L355">
        <v>0</v>
      </c>
    </row>
    <row r="356" spans="2:12" x14ac:dyDescent="0.25">
      <c r="B356">
        <v>45302</v>
      </c>
      <c r="C356" t="str">
        <v>GONZALEZ ROBERTO</v>
      </c>
      <c r="D356">
        <v>40</v>
      </c>
      <c r="E356" t="str">
        <v>CESAR MEYNET</v>
      </c>
      <c r="F356" t="str">
        <v>DISPLASIA DE CA</v>
      </c>
      <c r="G356" t="str">
        <v>PTC NO CEMET</v>
      </c>
      <c r="H356">
        <v>0</v>
      </c>
      <c r="I356" t="str">
        <v>ACEPTADO</v>
      </c>
      <c r="J356" t="str">
        <v>PARANÁ</v>
      </c>
      <c r="K356" t="str">
        <v>S/M</v>
      </c>
      <c r="L356">
        <v>0</v>
      </c>
    </row>
    <row r="357" spans="2:12" x14ac:dyDescent="0.25">
      <c r="B357">
        <v>45307</v>
      </c>
      <c r="C357" t="str">
        <v xml:space="preserve">BASUALDO DANTE </v>
      </c>
      <c r="D357">
        <v>63</v>
      </c>
      <c r="E357" t="str">
        <v>THEAUX</v>
      </c>
      <c r="F357" t="str">
        <v xml:space="preserve">COXARTROSIS </v>
      </c>
      <c r="G357" t="str">
        <v xml:space="preserve">PTC NO CEMETN COTILO </v>
      </c>
      <c r="H357">
        <v>0</v>
      </c>
      <c r="I357" t="str">
        <v xml:space="preserve">INICIADO </v>
      </c>
      <c r="J357" t="str">
        <v>PARANÁ</v>
      </c>
      <c r="K357" t="str">
        <v>S/M</v>
      </c>
      <c r="L357">
        <v>0</v>
      </c>
    </row>
    <row r="358" spans="2:12" x14ac:dyDescent="0.25">
      <c r="B358">
        <v>45307</v>
      </c>
      <c r="C358" t="str">
        <v xml:space="preserve">ALVARADO MARINA </v>
      </c>
      <c r="D358">
        <v>65</v>
      </c>
      <c r="E358" t="str">
        <v>VENTURI</v>
      </c>
      <c r="F358" t="str">
        <v>LES/MANGUIT ROT</v>
      </c>
      <c r="G358" t="str">
        <v xml:space="preserve">ARPONES </v>
      </c>
      <c r="H358" t="str">
        <v>IP MAGNA</v>
      </c>
      <c r="I358" t="str">
        <v>ACEPTADO</v>
      </c>
      <c r="J358" t="str">
        <v>PARANÁ</v>
      </c>
      <c r="K358" t="str">
        <v>PAMI</v>
      </c>
      <c r="L358">
        <v>0</v>
      </c>
    </row>
    <row r="359" spans="2:12" x14ac:dyDescent="0.25">
      <c r="B359">
        <v>45309</v>
      </c>
      <c r="C359" t="str">
        <v xml:space="preserve">GIMENEZ LUIS </v>
      </c>
      <c r="D359">
        <v>60</v>
      </c>
      <c r="E359">
        <v>0</v>
      </c>
      <c r="F359" t="str">
        <v>GENU VARO</v>
      </c>
      <c r="G359" t="str">
        <v>PLACA PUDDU</v>
      </c>
      <c r="H359">
        <v>0</v>
      </c>
      <c r="I359" t="str">
        <v>ACEPTADO</v>
      </c>
      <c r="J359" t="str">
        <v>PARANÁ</v>
      </c>
      <c r="K359" t="str">
        <v>S/M</v>
      </c>
      <c r="L359">
        <v>0</v>
      </c>
    </row>
    <row r="360" spans="2:12" x14ac:dyDescent="0.25">
      <c r="B360">
        <v>45309</v>
      </c>
      <c r="C360" t="str">
        <v xml:space="preserve">MIOLETTO NADIA </v>
      </c>
      <c r="D360">
        <v>33</v>
      </c>
      <c r="E360" t="str">
        <v>YACOMO</v>
      </c>
      <c r="F360" t="str">
        <v>LCA</v>
      </c>
      <c r="G360" t="str">
        <v>BOTON / TORN</v>
      </c>
      <c r="H360">
        <v>0</v>
      </c>
      <c r="I360" t="str">
        <v xml:space="preserve">INICIADO </v>
      </c>
      <c r="J360" t="str">
        <v>PARANÁ</v>
      </c>
      <c r="K360" t="str">
        <v>S/M</v>
      </c>
      <c r="L360">
        <v>0</v>
      </c>
    </row>
    <row r="361" spans="2:12" x14ac:dyDescent="0.25">
      <c r="B361">
        <v>45309</v>
      </c>
      <c r="C361" t="str">
        <v xml:space="preserve">MEDINA MARIA </v>
      </c>
      <c r="D361">
        <v>59</v>
      </c>
      <c r="E361" t="str">
        <v>JACOB</v>
      </c>
      <c r="F361" t="str">
        <v>DISCOPATIA</v>
      </c>
      <c r="G361" t="str">
        <v>BARRA/TORNI/PLIFF</v>
      </c>
      <c r="H361">
        <v>0</v>
      </c>
      <c r="I361" t="str">
        <v>ACEPTADO</v>
      </c>
      <c r="J361" t="str">
        <v xml:space="preserve">SANTA ELENA </v>
      </c>
      <c r="K361" t="str">
        <v>S/M</v>
      </c>
      <c r="L361" t="str">
        <v>11 S/M</v>
      </c>
    </row>
    <row r="362" spans="2:12" x14ac:dyDescent="0.25">
      <c r="B362">
        <v>45309</v>
      </c>
      <c r="C362" t="str">
        <v xml:space="preserve">MARTINEZ JUANA </v>
      </c>
      <c r="D362">
        <v>74</v>
      </c>
      <c r="E362" t="str">
        <v>YACOMO</v>
      </c>
      <c r="F362" t="str">
        <v>GONARTROSIS</v>
      </c>
      <c r="G362" t="str">
        <v>PTR ANATOMICA</v>
      </c>
      <c r="H362" t="str">
        <v>VILLALBA</v>
      </c>
      <c r="I362" t="str">
        <v>ACEPTADO</v>
      </c>
      <c r="J362" t="str">
        <v>PARANÁ</v>
      </c>
      <c r="K362" t="str">
        <v>PAMI</v>
      </c>
      <c r="L362" t="str">
        <v>13 PAMI</v>
      </c>
    </row>
    <row r="363" spans="2:12" x14ac:dyDescent="0.25">
      <c r="B363">
        <v>45309</v>
      </c>
      <c r="C363" t="str">
        <v xml:space="preserve">MEDINA MARIA EVA </v>
      </c>
      <c r="D363">
        <v>69</v>
      </c>
      <c r="E363" t="str">
        <v>STOPELLO</v>
      </c>
      <c r="F363" t="str">
        <v>GONARTROSIS</v>
      </c>
      <c r="G363" t="str">
        <v>PTR ANATOMICA</v>
      </c>
      <c r="H363" t="str">
        <v>IP MAGNA</v>
      </c>
      <c r="I363" t="str">
        <v>ACEPTADO</v>
      </c>
      <c r="J363" t="str">
        <v>PARANÁ</v>
      </c>
      <c r="K363" t="str">
        <v>PAMI</v>
      </c>
      <c r="L363" t="str">
        <v xml:space="preserve">25 PTES </v>
      </c>
    </row>
    <row r="364" spans="2:12" x14ac:dyDescent="0.25">
      <c r="B364">
        <v>45313</v>
      </c>
      <c r="C364" t="str">
        <v>LOPEZ SILVIA</v>
      </c>
      <c r="D364">
        <v>61</v>
      </c>
      <c r="E364" t="str">
        <v>GARCIA VITOR</v>
      </c>
      <c r="F364" t="str">
        <v>NOA</v>
      </c>
      <c r="G364" t="str">
        <v>PTC NO CEMENTADA</v>
      </c>
      <c r="H364" t="str">
        <v>IP MAGNA</v>
      </c>
      <c r="I364" t="str">
        <v>ACEPTADO</v>
      </c>
      <c r="J364" t="str">
        <v>PARANÁ</v>
      </c>
      <c r="K364" t="str">
        <v>PAMI</v>
      </c>
      <c r="L364">
        <v>0</v>
      </c>
    </row>
    <row r="365" spans="2:12" x14ac:dyDescent="0.25">
      <c r="B365">
        <v>45314</v>
      </c>
      <c r="C365" t="str">
        <v xml:space="preserve">RODRIGUEZ MARTIN </v>
      </c>
      <c r="D365">
        <v>35</v>
      </c>
      <c r="E365" t="str">
        <v>VENTURI</v>
      </c>
      <c r="F365" t="str">
        <v>OMALGIA IZQ</v>
      </c>
      <c r="G365" t="str">
        <v xml:space="preserve">ARPONES </v>
      </c>
      <c r="H365">
        <v>0</v>
      </c>
      <c r="I365" t="str">
        <v xml:space="preserve">INICIADO </v>
      </c>
      <c r="J365" t="str">
        <v xml:space="preserve">HERNANDARIAS </v>
      </c>
      <c r="K365" t="str">
        <v>S/M</v>
      </c>
      <c r="L365">
        <v>0</v>
      </c>
    </row>
    <row r="366" spans="2:12" x14ac:dyDescent="0.25">
      <c r="B366">
        <v>45314</v>
      </c>
      <c r="C366" t="str">
        <v xml:space="preserve">CORDOBA JONATHAN </v>
      </c>
      <c r="D366">
        <v>35</v>
      </c>
      <c r="E366" t="str">
        <v>CATRIEL GODOY</v>
      </c>
      <c r="F366" t="str">
        <v>LUX HOMBRO</v>
      </c>
      <c r="G366" t="str">
        <v xml:space="preserve">ENDOBOTON </v>
      </c>
      <c r="H366">
        <v>0</v>
      </c>
      <c r="I366" t="str">
        <v>ACEPTADO</v>
      </c>
      <c r="J366" t="str">
        <v>PARANÁ</v>
      </c>
      <c r="K366" t="str">
        <v>S/M</v>
      </c>
      <c r="L366">
        <v>0</v>
      </c>
    </row>
    <row r="367" spans="2:12" x14ac:dyDescent="0.25">
      <c r="B367">
        <v>45316</v>
      </c>
      <c r="C367" t="str">
        <v>SALAS BLANCA CATALINA</v>
      </c>
      <c r="D367">
        <v>90</v>
      </c>
      <c r="E367" t="str">
        <v>UCEDO</v>
      </c>
      <c r="F367" t="str">
        <v>FX TIBIA Y PERONE</v>
      </c>
      <c r="G367" t="str">
        <v>PLACA HILERA DISTAL</v>
      </c>
      <c r="H367" t="str">
        <v>VILLALBA</v>
      </c>
      <c r="I367" t="str">
        <v>ACEPTADO</v>
      </c>
      <c r="J367" t="str">
        <v>PARANÁ</v>
      </c>
      <c r="K367" t="str">
        <v>PAMI</v>
      </c>
      <c r="L367">
        <v>0</v>
      </c>
    </row>
    <row r="368" spans="2:12" x14ac:dyDescent="0.25">
      <c r="B368">
        <v>45316</v>
      </c>
      <c r="C368" t="str">
        <v>CORAJUDIA ADELMA</v>
      </c>
      <c r="D368">
        <v>81</v>
      </c>
      <c r="E368">
        <v>0</v>
      </c>
      <c r="F368" t="str">
        <v>FX CADERA IZQ</v>
      </c>
      <c r="G368" t="str">
        <v>CLAVO ENDOMEDULAR</v>
      </c>
      <c r="H368" t="str">
        <v>VILLALBA</v>
      </c>
      <c r="I368" t="str">
        <v>ACEPTADO</v>
      </c>
      <c r="J368" t="str">
        <v>PARANÁ</v>
      </c>
      <c r="K368" t="str">
        <v>PAMI</v>
      </c>
      <c r="L368">
        <v>0</v>
      </c>
    </row>
    <row r="369" spans="2:12" x14ac:dyDescent="0.25">
      <c r="B369">
        <v>45317</v>
      </c>
      <c r="C369" t="str">
        <v>RIOS AVELINA</v>
      </c>
      <c r="D369">
        <v>75</v>
      </c>
      <c r="E369" t="str">
        <v>GARCIA VITOR</v>
      </c>
      <c r="F369" t="str">
        <v xml:space="preserve">COXARTROSIS </v>
      </c>
      <c r="G369" t="str">
        <v>PTC CEMENTADA</v>
      </c>
      <c r="H369" t="str">
        <v>VILLALBA</v>
      </c>
      <c r="I369" t="str">
        <v>ACEPTADO</v>
      </c>
      <c r="J369" t="str">
        <v>PARANÁ</v>
      </c>
      <c r="K369" t="str">
        <v>PAMI</v>
      </c>
      <c r="L369">
        <v>0</v>
      </c>
    </row>
    <row r="370" spans="2:12" x14ac:dyDescent="0.25">
      <c r="B370">
        <v>45317</v>
      </c>
      <c r="C370" t="str">
        <v>ALBORNOZ SIMON</v>
      </c>
      <c r="D370">
        <v>69</v>
      </c>
      <c r="E370" t="str">
        <v>STOPELLO</v>
      </c>
      <c r="F370" t="str">
        <v>RUPTURA TENDON</v>
      </c>
      <c r="G370" t="str">
        <v>PTC RODILLA/ MALLA MARLEX</v>
      </c>
      <c r="H370" t="str">
        <v>VILLALBA</v>
      </c>
      <c r="I370" t="str">
        <v>ACEPTADO</v>
      </c>
      <c r="J370" t="str">
        <v>PARANÁ</v>
      </c>
      <c r="K370" t="str">
        <v>PAMI</v>
      </c>
      <c r="L370">
        <v>0</v>
      </c>
    </row>
    <row r="371" spans="2:12" x14ac:dyDescent="0.25">
      <c r="B371">
        <v>45322</v>
      </c>
      <c r="C371" t="str">
        <v>GABAS ETELVINA DORILA</v>
      </c>
      <c r="D371">
        <v>94</v>
      </c>
      <c r="E371" t="str">
        <v>GARCIA VITOR</v>
      </c>
      <c r="F371" t="str">
        <v>FX CADERA IZQ</v>
      </c>
      <c r="G371" t="str">
        <v>PROTESIS THOMPSON</v>
      </c>
      <c r="H371" t="str">
        <v>VILLALBA</v>
      </c>
      <c r="I371" t="str">
        <v>ACEPTADO</v>
      </c>
      <c r="J371" t="str">
        <v>PARANÁ</v>
      </c>
      <c r="K371" t="str">
        <v>PAMI</v>
      </c>
      <c r="L371">
        <v>0</v>
      </c>
    </row>
    <row r="372" spans="2:12" x14ac:dyDescent="0.25">
      <c r="B372">
        <v>45322</v>
      </c>
      <c r="C372" t="str">
        <v>PALAVECINO ANGEL RAMON</v>
      </c>
      <c r="D372">
        <v>72</v>
      </c>
      <c r="E372" t="str">
        <v>PEÑA TANIA</v>
      </c>
      <c r="F372" t="str">
        <v>FX CADERA IZQ</v>
      </c>
      <c r="G372" t="str">
        <v>PTC CEMENTADA</v>
      </c>
      <c r="H372" t="str">
        <v>VILLALBA</v>
      </c>
      <c r="I372" t="str">
        <v>ACEPTADO</v>
      </c>
      <c r="J372" t="str">
        <v>PARANÁ</v>
      </c>
      <c r="K372" t="str">
        <v>PAMI</v>
      </c>
      <c r="L372">
        <v>0</v>
      </c>
    </row>
    <row r="373" spans="2:12" x14ac:dyDescent="0.25">
      <c r="B373">
        <v>45323</v>
      </c>
      <c r="C373" t="str">
        <v>LESCANO ESTER</v>
      </c>
      <c r="D373">
        <v>78</v>
      </c>
      <c r="E373" t="str">
        <v>GARCIA VITOR</v>
      </c>
      <c r="F373" t="str">
        <v>FX CADERA IZQ</v>
      </c>
      <c r="G373" t="str">
        <v>CLAVO PLACA DHS</v>
      </c>
      <c r="H373" t="str">
        <v>VILLABA</v>
      </c>
      <c r="I373" t="str">
        <v>ACEPTADO</v>
      </c>
      <c r="J373" t="str">
        <v>PARANÁ</v>
      </c>
      <c r="K373" t="str">
        <v>PAMI</v>
      </c>
      <c r="L373">
        <v>0</v>
      </c>
    </row>
    <row r="374" spans="2:12" x14ac:dyDescent="0.25">
      <c r="B374">
        <v>45323</v>
      </c>
      <c r="C374" t="str">
        <v>MORALES ARACELI AYELEN</v>
      </c>
      <c r="D374">
        <v>24</v>
      </c>
      <c r="E374">
        <v>0</v>
      </c>
      <c r="F374" t="str">
        <v>LCA</v>
      </c>
      <c r="G374" t="str">
        <v>TORNILLO/BOTON</v>
      </c>
      <c r="H374">
        <v>0</v>
      </c>
      <c r="I374" t="str">
        <v>INICIADO</v>
      </c>
      <c r="J374" t="str">
        <v>PARANÁ</v>
      </c>
      <c r="K374" t="str">
        <v>S/M</v>
      </c>
      <c r="L374">
        <v>0</v>
      </c>
    </row>
    <row r="375" spans="2:12" x14ac:dyDescent="0.25">
      <c r="B375">
        <v>45327</v>
      </c>
      <c r="C375" t="str">
        <v xml:space="preserve">GABAS IMELDA MARIA </v>
      </c>
      <c r="D375">
        <v>85</v>
      </c>
      <c r="E375" t="str">
        <v>VENTURI</v>
      </c>
      <c r="F375" t="str">
        <v>FX MUÑECA IZQ</v>
      </c>
      <c r="G375" t="str">
        <v>PLACA EDH/PLACA 1/3</v>
      </c>
      <c r="H375" t="str">
        <v>VILLABA</v>
      </c>
      <c r="I375" t="str">
        <v>ACEPTADO</v>
      </c>
      <c r="J375" t="str">
        <v>PARANÁ</v>
      </c>
      <c r="K375" t="str">
        <v>PAMI</v>
      </c>
      <c r="L375">
        <v>0</v>
      </c>
    </row>
    <row r="376" spans="2:12" x14ac:dyDescent="0.25">
      <c r="B376">
        <v>45328</v>
      </c>
      <c r="C376" t="str">
        <v xml:space="preserve">DE LOS SANTOS MARIA </v>
      </c>
      <c r="D376">
        <v>67</v>
      </c>
      <c r="E376" t="str">
        <v>GARCIA VITOR</v>
      </c>
      <c r="F376" t="str">
        <v>GONARTROSIS</v>
      </c>
      <c r="G376" t="str">
        <v>PTC TOTAL DE RODILLA</v>
      </c>
      <c r="H376" t="str">
        <v>VILLABA</v>
      </c>
      <c r="I376" t="str">
        <v>ACEPTADO</v>
      </c>
      <c r="J376" t="str">
        <v>PARANÁ</v>
      </c>
      <c r="K376" t="str">
        <v>PAMI</v>
      </c>
      <c r="L376">
        <v>0</v>
      </c>
    </row>
    <row r="377" spans="2:12" x14ac:dyDescent="0.25">
      <c r="B377">
        <v>45328</v>
      </c>
      <c r="C377" t="str">
        <v>PORTILLO SERGIO DANIEL</v>
      </c>
      <c r="D377">
        <v>63</v>
      </c>
      <c r="E377">
        <v>0</v>
      </c>
      <c r="F377" t="str">
        <v>DEFECT/FEMUR IZQ</v>
      </c>
      <c r="G377" t="str">
        <v>TUTOR TUBULAR AO</v>
      </c>
      <c r="H377" t="str">
        <v>VILLABA</v>
      </c>
      <c r="I377" t="str">
        <v>ACEPTADO</v>
      </c>
      <c r="J377" t="str">
        <v>PARANÁ</v>
      </c>
      <c r="K377" t="str">
        <v>PAMI</v>
      </c>
      <c r="L377">
        <v>0</v>
      </c>
    </row>
    <row r="378" spans="2:12" x14ac:dyDescent="0.25">
      <c r="B378">
        <v>45328</v>
      </c>
      <c r="C378" t="str">
        <v>RETAMAR JUAN</v>
      </c>
      <c r="D378">
        <v>22</v>
      </c>
      <c r="E378">
        <v>0</v>
      </c>
      <c r="F378">
        <v>0</v>
      </c>
      <c r="G378" t="str">
        <v>VALVA REMOPLASTICA</v>
      </c>
      <c r="H378">
        <v>0</v>
      </c>
      <c r="I378" t="str">
        <v>INICIADO</v>
      </c>
      <c r="J378" t="str">
        <v>PARANÁ</v>
      </c>
      <c r="K378" t="str">
        <v>S/M</v>
      </c>
      <c r="L378">
        <v>0</v>
      </c>
    </row>
    <row r="379" spans="2:12" x14ac:dyDescent="0.25">
      <c r="B379">
        <v>45329</v>
      </c>
      <c r="C379" t="str">
        <v>CAGNANI MIRTHA</v>
      </c>
      <c r="D379">
        <v>88</v>
      </c>
      <c r="E379">
        <v>0</v>
      </c>
      <c r="F379" t="str">
        <v>FX CADERA DER</v>
      </c>
      <c r="G379" t="str">
        <v>CLAVO GAMMA</v>
      </c>
      <c r="H379" t="str">
        <v>VILLABA</v>
      </c>
      <c r="I379" t="str">
        <v>ACEPTADO</v>
      </c>
      <c r="J379" t="str">
        <v>PARANÁ</v>
      </c>
      <c r="K379" t="str">
        <v>PAMI</v>
      </c>
      <c r="L379">
        <v>0</v>
      </c>
    </row>
    <row r="380" spans="2:12" x14ac:dyDescent="0.25">
      <c r="B380">
        <v>45329</v>
      </c>
      <c r="C380" t="str">
        <v>SANCHEZ ALEJANDRA</v>
      </c>
      <c r="D380">
        <v>62</v>
      </c>
      <c r="E380" t="str">
        <v xml:space="preserve">URANGA </v>
      </c>
      <c r="F380" t="str">
        <v>COLUMNA</v>
      </c>
      <c r="G380" t="str">
        <v>TORNILLOS/BARRAS/PLIF/SUST-OSEO</v>
      </c>
      <c r="H380">
        <v>0</v>
      </c>
      <c r="I380" t="str">
        <v>INICIADO</v>
      </c>
      <c r="J380" t="str">
        <v>PARANÁ</v>
      </c>
      <c r="K380" t="str">
        <v>S/M</v>
      </c>
      <c r="L380">
        <v>0</v>
      </c>
    </row>
    <row r="381" spans="2:12" x14ac:dyDescent="0.25">
      <c r="B381">
        <v>45329</v>
      </c>
      <c r="C381" t="str">
        <v>TORRES ANA</v>
      </c>
      <c r="D381">
        <v>78</v>
      </c>
      <c r="E381">
        <v>0</v>
      </c>
      <c r="F381" t="str">
        <v>FX FEMUR</v>
      </c>
      <c r="G381" t="str">
        <v>PLACA ANAT/PILON-TIBIAL</v>
      </c>
      <c r="H381" t="str">
        <v>VILLABA</v>
      </c>
      <c r="I381" t="str">
        <v>ACEPTADO</v>
      </c>
      <c r="J381" t="str">
        <v>PARANÁ</v>
      </c>
      <c r="K381" t="str">
        <v>PAMI</v>
      </c>
      <c r="L381">
        <v>0</v>
      </c>
    </row>
    <row r="382" spans="2:12" x14ac:dyDescent="0.25">
      <c r="B382">
        <v>45330</v>
      </c>
      <c r="C382" t="str">
        <v>GRACIELA INES</v>
      </c>
      <c r="D382">
        <v>66</v>
      </c>
      <c r="E382">
        <v>0</v>
      </c>
      <c r="F382" t="str">
        <v>GONARTROSIS</v>
      </c>
      <c r="G382" t="str">
        <v>PTC TOTAL DE RODILLA</v>
      </c>
      <c r="H382" t="str">
        <v>VILLABA</v>
      </c>
      <c r="I382" t="str">
        <v>ACEPTADO</v>
      </c>
      <c r="J382" t="str">
        <v>PARANÁ</v>
      </c>
      <c r="K382" t="str">
        <v>PAMI</v>
      </c>
      <c r="L382">
        <v>0</v>
      </c>
    </row>
    <row r="383" spans="2:12" x14ac:dyDescent="0.25">
      <c r="B383">
        <v>45331</v>
      </c>
      <c r="C383" t="str">
        <v>CORREA HORTENCIA</v>
      </c>
      <c r="D383">
        <v>79</v>
      </c>
      <c r="E383">
        <v>0</v>
      </c>
      <c r="F383" t="str">
        <v>FX INTRAPELVICA</v>
      </c>
      <c r="G383" t="str">
        <v>PTC TOTAL DE RODILLA</v>
      </c>
      <c r="H383" t="str">
        <v>VILLABA</v>
      </c>
      <c r="I383" t="str">
        <v>ACEPTADO</v>
      </c>
      <c r="J383" t="str">
        <v>PARANÁ</v>
      </c>
      <c r="K383" t="str">
        <v>PAMI</v>
      </c>
      <c r="L383">
        <v>0</v>
      </c>
    </row>
    <row r="384" spans="2:12" x14ac:dyDescent="0.25">
      <c r="B384">
        <v>45337</v>
      </c>
      <c r="C384" t="str">
        <v>CORREA HORTENCIA</v>
      </c>
      <c r="D384">
        <v>79</v>
      </c>
      <c r="E384">
        <v>0</v>
      </c>
      <c r="F384" t="str">
        <v>SISTEM/FIJACION</v>
      </c>
      <c r="G384" t="str">
        <v>FRACTURA T12</v>
      </c>
      <c r="H384" t="str">
        <v>VILLABA</v>
      </c>
      <c r="I384" t="str">
        <v>ACEPTADO</v>
      </c>
      <c r="J384" t="str">
        <v>PARANÁ</v>
      </c>
      <c r="K384" t="str">
        <v>PAMI</v>
      </c>
      <c r="L384">
        <v>0</v>
      </c>
    </row>
    <row r="385" spans="2:12" x14ac:dyDescent="0.25">
      <c r="B385">
        <v>45338</v>
      </c>
      <c r="C385" t="str">
        <v>MONEY VIOLETA</v>
      </c>
      <c r="D385">
        <v>61</v>
      </c>
      <c r="E385">
        <v>0</v>
      </c>
      <c r="F385" t="str">
        <v>FX PROX HUMERO</v>
      </c>
      <c r="G385" t="str">
        <v>PLACA PHILOS</v>
      </c>
      <c r="H385" t="str">
        <v>VILLABA</v>
      </c>
      <c r="I385" t="str">
        <v>ACEPTADO</v>
      </c>
      <c r="J385" t="str">
        <v>PARANÁ</v>
      </c>
      <c r="K385" t="str">
        <v>PAMI</v>
      </c>
      <c r="L385">
        <v>0</v>
      </c>
    </row>
    <row r="386" spans="2:12" x14ac:dyDescent="0.25">
      <c r="B386">
        <v>45342</v>
      </c>
      <c r="C386" t="str">
        <v>FERREYRA MARIA DEL CARMEN</v>
      </c>
      <c r="D386">
        <v>60</v>
      </c>
      <c r="E386" t="str">
        <v>YACOMO</v>
      </c>
      <c r="F386" t="str">
        <v>GONARTROSIS</v>
      </c>
      <c r="G386" t="str">
        <v>PTC TOTAL DE RODILLA</v>
      </c>
      <c r="H386" t="str">
        <v>VILLABA</v>
      </c>
      <c r="I386" t="str">
        <v>ACEPTADO</v>
      </c>
      <c r="J386" t="str">
        <v>PARANÁ</v>
      </c>
      <c r="K386" t="str">
        <v>PAMI</v>
      </c>
      <c r="L386">
        <v>0</v>
      </c>
    </row>
    <row r="387" spans="2:12" x14ac:dyDescent="0.25">
      <c r="B387">
        <v>45342</v>
      </c>
      <c r="C387" t="str">
        <v>QUIROGA ROBERTO ALFREDO</v>
      </c>
      <c r="D387">
        <v>77</v>
      </c>
      <c r="E387" t="str">
        <v xml:space="preserve">URANGA </v>
      </c>
      <c r="F387" t="str">
        <v>FX</v>
      </c>
      <c r="G387" t="str">
        <v>PTC THOMPSON</v>
      </c>
      <c r="H387" t="str">
        <v>VILLABA</v>
      </c>
      <c r="I387" t="str">
        <v>ACEPTADO</v>
      </c>
      <c r="J387" t="str">
        <v>PARANÁ</v>
      </c>
      <c r="K387" t="str">
        <v>PAMI</v>
      </c>
      <c r="L387">
        <v>0</v>
      </c>
    </row>
    <row r="388" spans="2:12" x14ac:dyDescent="0.25">
      <c r="B388">
        <v>45342</v>
      </c>
      <c r="C388" t="str">
        <v>ANTUNEZ MIRTHA</v>
      </c>
      <c r="D388">
        <v>68</v>
      </c>
      <c r="E388">
        <v>0</v>
      </c>
      <c r="F388" t="str">
        <v>HALLUX VALVUS</v>
      </c>
      <c r="G388" t="str">
        <v>PLACA T Y L</v>
      </c>
      <c r="H388" t="str">
        <v>VILLABA</v>
      </c>
      <c r="I388" t="str">
        <v>ACEPTADO</v>
      </c>
      <c r="J388" t="str">
        <v>PARANÁ</v>
      </c>
      <c r="K388" t="str">
        <v>PAMI</v>
      </c>
      <c r="L388">
        <v>0</v>
      </c>
    </row>
    <row r="389" spans="2:12" x14ac:dyDescent="0.25">
      <c r="B389">
        <v>45342</v>
      </c>
      <c r="C389" t="str">
        <v>BOLZAN NORMA</v>
      </c>
      <c r="D389">
        <v>91</v>
      </c>
      <c r="E389">
        <v>0</v>
      </c>
      <c r="F389" t="str">
        <v>FX CADERA IZQ</v>
      </c>
      <c r="G389" t="str">
        <v>CLAVO GAMMA</v>
      </c>
      <c r="H389" t="str">
        <v>VILLABA</v>
      </c>
      <c r="I389" t="str">
        <v>ACEPTADO</v>
      </c>
      <c r="J389" t="str">
        <v>PARANÁ</v>
      </c>
      <c r="K389" t="str">
        <v>PAMI</v>
      </c>
      <c r="L389">
        <v>0</v>
      </c>
    </row>
    <row r="390" spans="2:12" x14ac:dyDescent="0.25">
      <c r="B390">
        <v>45343</v>
      </c>
      <c r="C390" t="str">
        <v xml:space="preserve">SCHMIDT HERNAN </v>
      </c>
      <c r="D390">
        <v>15</v>
      </c>
      <c r="E390" t="str">
        <v>GARCIA VITOR</v>
      </c>
      <c r="F390" t="str">
        <v>OSTEORTRITIS</v>
      </c>
      <c r="G390" t="str">
        <v>PTC TOTAL DE CADERA</v>
      </c>
      <c r="H390">
        <v>0</v>
      </c>
      <c r="I390" t="str">
        <v>INICIADO</v>
      </c>
      <c r="J390" t="str">
        <v>PARANÁ</v>
      </c>
      <c r="K390" t="str">
        <v>S/M</v>
      </c>
      <c r="L390">
        <v>0</v>
      </c>
    </row>
    <row r="391" spans="2:12" x14ac:dyDescent="0.25">
      <c r="B391">
        <v>45343</v>
      </c>
      <c r="C391" t="str">
        <v>STROHL NELIDA</v>
      </c>
      <c r="D391">
        <v>75</v>
      </c>
      <c r="E391">
        <v>0</v>
      </c>
      <c r="F391" t="str">
        <v>COXOARTROSIS</v>
      </c>
      <c r="G391" t="str">
        <v xml:space="preserve">PTC DE CADERA </v>
      </c>
      <c r="H391" t="str">
        <v>VILLABA</v>
      </c>
      <c r="I391" t="str">
        <v>ACEPTADO</v>
      </c>
      <c r="J391" t="str">
        <v>PARANÁ</v>
      </c>
      <c r="K391" t="str">
        <v>PAMI</v>
      </c>
      <c r="L391">
        <v>0</v>
      </c>
    </row>
    <row r="392" spans="2:12" x14ac:dyDescent="0.25">
      <c r="B392">
        <v>45344</v>
      </c>
      <c r="C392" t="str">
        <v>VARGAS JUAN</v>
      </c>
      <c r="D392">
        <v>68</v>
      </c>
      <c r="E392">
        <v>0</v>
      </c>
      <c r="F392" t="str">
        <v>FX TOBILLO</v>
      </c>
      <c r="G392" t="str">
        <v>PLACA 1/3 TUBO</v>
      </c>
      <c r="H392" t="str">
        <v>VILLABA</v>
      </c>
      <c r="I392" t="str">
        <v>ACEPTADO</v>
      </c>
      <c r="J392" t="str">
        <v>PARANÁ</v>
      </c>
      <c r="K392" t="str">
        <v>PAMI</v>
      </c>
      <c r="L392">
        <v>0</v>
      </c>
    </row>
    <row r="393" spans="2:12" x14ac:dyDescent="0.25">
      <c r="B393">
        <v>45344</v>
      </c>
      <c r="C393" t="str">
        <v>AYALA STELLA</v>
      </c>
      <c r="D393">
        <v>54</v>
      </c>
      <c r="E393">
        <v>0</v>
      </c>
      <c r="F393" t="str">
        <v>FX CALCANEO</v>
      </c>
      <c r="G393" t="str">
        <v>PLACA LAMBDA/TOR-CAN</v>
      </c>
      <c r="H393" t="str">
        <v>VILLABA</v>
      </c>
      <c r="I393" t="str">
        <v>ACEPTADO</v>
      </c>
      <c r="J393" t="str">
        <v>PARANÁ</v>
      </c>
      <c r="K393" t="str">
        <v>PAMI</v>
      </c>
      <c r="L393">
        <v>0</v>
      </c>
    </row>
    <row r="394" spans="2:12" x14ac:dyDescent="0.25">
      <c r="B394">
        <v>45348</v>
      </c>
      <c r="C394" t="str">
        <v>GIORGIO ESTER EMILCE</v>
      </c>
      <c r="D394">
        <v>57</v>
      </c>
      <c r="E394">
        <v>0</v>
      </c>
      <c r="F394" t="str">
        <v>GONARTROSIS</v>
      </c>
      <c r="G394" t="str">
        <v>PTC TOTAL DE RODILLA</v>
      </c>
      <c r="H394" t="str">
        <v>VILLABA</v>
      </c>
      <c r="I394" t="str">
        <v>ACEPTADO</v>
      </c>
      <c r="J394" t="str">
        <v>PARANÁ</v>
      </c>
      <c r="K394" t="str">
        <v>PAMI</v>
      </c>
      <c r="L394">
        <v>0</v>
      </c>
    </row>
    <row r="395" spans="2:12" x14ac:dyDescent="0.25">
      <c r="B395">
        <v>45348</v>
      </c>
      <c r="C395" t="str">
        <v xml:space="preserve">AGUSTIN GIACCIO </v>
      </c>
      <c r="D395">
        <v>0</v>
      </c>
      <c r="E395">
        <v>0</v>
      </c>
      <c r="F395" t="str">
        <v>LCA</v>
      </c>
      <c r="G395" t="str">
        <v>TOR/BOTON/PUNTA/INMOL</v>
      </c>
      <c r="H395">
        <v>0</v>
      </c>
      <c r="I395" t="str">
        <v>INICIADO</v>
      </c>
      <c r="J395" t="str">
        <v>PARANÁ</v>
      </c>
      <c r="K395" t="str">
        <v>S/M</v>
      </c>
      <c r="L395">
        <v>0</v>
      </c>
    </row>
    <row r="396" spans="2:12" x14ac:dyDescent="0.25">
      <c r="B396">
        <v>45348</v>
      </c>
      <c r="C396" t="str">
        <v>ACOSTA LEANDRO</v>
      </c>
      <c r="D396">
        <v>0</v>
      </c>
      <c r="E396" t="str">
        <v>GARCIA VITOR</v>
      </c>
      <c r="F396" t="str">
        <v>LCA</v>
      </c>
      <c r="G396" t="str">
        <v>TOR/BOTON/PUNTA/INMOL</v>
      </c>
      <c r="H396">
        <v>0</v>
      </c>
      <c r="I396" t="str">
        <v>INICIADO</v>
      </c>
      <c r="J396" t="str">
        <v>PARANÁ</v>
      </c>
      <c r="K396" t="str">
        <v>S/M</v>
      </c>
      <c r="L396">
        <v>0</v>
      </c>
    </row>
    <row r="397" spans="2:12" x14ac:dyDescent="0.25">
      <c r="B397">
        <v>45348</v>
      </c>
      <c r="C397" t="str">
        <v>RIVERO LIDIA ELENA</v>
      </c>
      <c r="D397">
        <v>71</v>
      </c>
      <c r="E397">
        <v>0</v>
      </c>
      <c r="F397" t="str">
        <v>GONARTROSIS</v>
      </c>
      <c r="G397" t="str">
        <v xml:space="preserve">REEMPLAZO DE ROD </v>
      </c>
      <c r="H397" t="str">
        <v>VILLABA</v>
      </c>
      <c r="I397" t="str">
        <v>ACEPTADO</v>
      </c>
      <c r="J397" t="str">
        <v>PARANÁ</v>
      </c>
      <c r="K397" t="str">
        <v>PAMI</v>
      </c>
      <c r="L397">
        <v>0</v>
      </c>
    </row>
    <row r="398" spans="2:12" x14ac:dyDescent="0.25">
      <c r="B398">
        <v>45348</v>
      </c>
      <c r="C398" t="str">
        <v>CAMPOS MIRTA</v>
      </c>
      <c r="D398">
        <v>72</v>
      </c>
      <c r="E398" t="str">
        <v>GARCIA VITOR</v>
      </c>
      <c r="F398" t="str">
        <v>PTC TOTAL DE ROD</v>
      </c>
      <c r="G398" t="str">
        <v>GONARTROSIS</v>
      </c>
      <c r="H398" t="str">
        <v>VILLABA</v>
      </c>
      <c r="I398" t="str">
        <v>ACEPTADO</v>
      </c>
      <c r="J398" t="str">
        <v>PARANÁ</v>
      </c>
      <c r="K398" t="str">
        <v>PAMI</v>
      </c>
      <c r="L398">
        <v>0</v>
      </c>
    </row>
    <row r="399" spans="2:12" x14ac:dyDescent="0.25">
      <c r="B399">
        <v>45348</v>
      </c>
      <c r="C399" t="str">
        <v>HILMAN ELENA</v>
      </c>
      <c r="D399">
        <v>67</v>
      </c>
      <c r="E399">
        <v>0</v>
      </c>
      <c r="F399" t="str">
        <v>PTC TOTAL DE ROD</v>
      </c>
      <c r="G399" t="str">
        <v>GONARTROSIS</v>
      </c>
      <c r="H399" t="str">
        <v>VILLABA</v>
      </c>
      <c r="I399" t="str">
        <v>ACEPTADO</v>
      </c>
      <c r="J399" t="str">
        <v>PARANÁ</v>
      </c>
      <c r="K399" t="str">
        <v>PAMI</v>
      </c>
      <c r="L399">
        <v>0</v>
      </c>
    </row>
    <row r="400" spans="2:12" x14ac:dyDescent="0.25">
      <c r="B400">
        <v>45348</v>
      </c>
      <c r="C400" t="str">
        <v>CARRERAS LILIANA</v>
      </c>
      <c r="D400">
        <v>72</v>
      </c>
      <c r="E400">
        <v>0</v>
      </c>
      <c r="F400" t="str">
        <v>PTC TOTAL DE CAD</v>
      </c>
      <c r="G400" t="str">
        <v>COXOARTROSIS</v>
      </c>
      <c r="H400" t="str">
        <v>VILLABA</v>
      </c>
      <c r="I400" t="str">
        <v>ACEPTADO</v>
      </c>
      <c r="J400" t="str">
        <v>PARANÁ</v>
      </c>
      <c r="K400" t="str">
        <v>PAMI</v>
      </c>
      <c r="L400">
        <v>0</v>
      </c>
    </row>
    <row r="401" spans="2:12" x14ac:dyDescent="0.25">
      <c r="B401">
        <v>45349</v>
      </c>
      <c r="C401" t="str">
        <v>YURI UZIEL</v>
      </c>
      <c r="D401">
        <v>54</v>
      </c>
      <c r="E401" t="str">
        <v>RESIDENTES</v>
      </c>
      <c r="F401" t="str">
        <v>TOR/PLACA/CLAV</v>
      </c>
      <c r="G401" t="str">
        <v>FX FEMUR Y PLATILLO</v>
      </c>
      <c r="H401" t="str">
        <v>VILLABA</v>
      </c>
      <c r="I401" t="str">
        <v>ACEPTADO</v>
      </c>
      <c r="J401" t="str">
        <v>PARANÁ</v>
      </c>
      <c r="K401" t="str">
        <v>PAMI</v>
      </c>
      <c r="L401">
        <v>0</v>
      </c>
    </row>
    <row r="402" spans="2:12" x14ac:dyDescent="0.25">
      <c r="B402">
        <v>45351</v>
      </c>
      <c r="C402" t="str">
        <v>GRIFIF JUAN ROMAN</v>
      </c>
      <c r="D402">
        <v>20</v>
      </c>
      <c r="E402" t="str">
        <v>GARCIA VITOR</v>
      </c>
      <c r="F402" t="str">
        <v xml:space="preserve">BOTON </v>
      </c>
      <c r="G402" t="str">
        <v>FX TIBIA</v>
      </c>
      <c r="H402">
        <v>0</v>
      </c>
      <c r="I402" t="str">
        <v>INICIADO</v>
      </c>
      <c r="J402" t="str">
        <v>PARANÁ</v>
      </c>
      <c r="K402" t="str">
        <v>S/M</v>
      </c>
      <c r="L402">
        <v>0</v>
      </c>
    </row>
    <row r="403" spans="2:12" x14ac:dyDescent="0.25">
      <c r="B403">
        <v>45352</v>
      </c>
      <c r="C403" t="str">
        <v xml:space="preserve">LENCINA MARIA </v>
      </c>
      <c r="D403">
        <v>69</v>
      </c>
      <c r="E403" t="str">
        <v>CASERES</v>
      </c>
      <c r="F403" t="str">
        <v>FX  CUBITO</v>
      </c>
      <c r="G403" t="str">
        <v>PLACA TERCI TUBO</v>
      </c>
      <c r="H403" t="str">
        <v xml:space="preserve">IP MAGNA </v>
      </c>
      <c r="I403" t="str">
        <v>ACEPTADO</v>
      </c>
      <c r="J403" t="str">
        <v>PARANÁ</v>
      </c>
      <c r="K403" t="str">
        <v>PAMI</v>
      </c>
      <c r="L403">
        <v>0</v>
      </c>
    </row>
    <row r="404" spans="2:12" x14ac:dyDescent="0.25">
      <c r="B404">
        <v>45355</v>
      </c>
      <c r="C404" t="str">
        <v xml:space="preserve">ECHAVIYU FELIPA </v>
      </c>
      <c r="D404">
        <v>89</v>
      </c>
      <c r="E404" t="str">
        <v>CASERES</v>
      </c>
      <c r="F404" t="str">
        <v>FX CADERA</v>
      </c>
      <c r="G404" t="str">
        <v>CLAVO GAMMA</v>
      </c>
      <c r="H404" t="str">
        <v>VILLALBA</v>
      </c>
      <c r="I404" t="str">
        <v>ACEPTADO</v>
      </c>
      <c r="J404" t="str">
        <v>PARANÁ</v>
      </c>
      <c r="K404" t="str">
        <v>PAMI</v>
      </c>
      <c r="L404">
        <v>0</v>
      </c>
    </row>
    <row r="405" spans="2:12" x14ac:dyDescent="0.25">
      <c r="B405">
        <v>45355</v>
      </c>
      <c r="C405" t="str">
        <v>FERNANDEZ LUISA</v>
      </c>
      <c r="D405">
        <v>92</v>
      </c>
      <c r="E405" t="str">
        <v>CASERES</v>
      </c>
      <c r="F405" t="str">
        <v>FX CADERA</v>
      </c>
      <c r="G405" t="str">
        <v>PTC CEMENT/COTILO D</v>
      </c>
      <c r="H405" t="str">
        <v>VILLALBA</v>
      </c>
      <c r="I405" t="str">
        <v>ACEPTADO</v>
      </c>
      <c r="J405" t="str">
        <v>PARANÁ</v>
      </c>
      <c r="K405" t="str">
        <v>PAMI</v>
      </c>
      <c r="L405">
        <v>0</v>
      </c>
    </row>
    <row r="406" spans="2:12" x14ac:dyDescent="0.25">
      <c r="B406">
        <v>45355</v>
      </c>
      <c r="C406" t="str">
        <v xml:space="preserve">ACEVEDO OLGA </v>
      </c>
      <c r="D406">
        <v>84</v>
      </c>
      <c r="E406" t="str">
        <v>CASERES</v>
      </c>
      <c r="F406" t="str">
        <v>FX CADERA</v>
      </c>
      <c r="G406" t="str">
        <v>PTC CEMENT/COTILO D</v>
      </c>
      <c r="H406" t="str">
        <v>VILLALBA</v>
      </c>
      <c r="I406" t="str">
        <v>ACEPTADO</v>
      </c>
      <c r="J406" t="str">
        <v>PARANÁ</v>
      </c>
      <c r="K406" t="str">
        <v>PAMI</v>
      </c>
      <c r="L406">
        <v>0</v>
      </c>
    </row>
    <row r="407" spans="2:12" x14ac:dyDescent="0.25">
      <c r="B407">
        <v>45357</v>
      </c>
      <c r="C407" t="str">
        <v xml:space="preserve">SILVA JORGELINA </v>
      </c>
      <c r="D407">
        <v>63</v>
      </c>
      <c r="E407" t="str">
        <v>GARCIA VITOR</v>
      </c>
      <c r="F407" t="str">
        <v>AFLOJ PROTESICO</v>
      </c>
      <c r="G407" t="str">
        <v xml:space="preserve">PTC DE REVISION </v>
      </c>
      <c r="H407" t="str">
        <v xml:space="preserve">IP MAGNA </v>
      </c>
      <c r="I407" t="str">
        <v>ACEPTADO</v>
      </c>
      <c r="J407" t="str">
        <v>PARANÁ</v>
      </c>
      <c r="K407" t="str">
        <v>PAMI</v>
      </c>
      <c r="L407">
        <v>0</v>
      </c>
    </row>
    <row r="408" spans="2:12" x14ac:dyDescent="0.25">
      <c r="B408">
        <v>45357</v>
      </c>
      <c r="C408" t="str">
        <v xml:space="preserve">GODOY BLANCA </v>
      </c>
      <c r="D408">
        <v>74</v>
      </c>
      <c r="E408" t="str">
        <v xml:space="preserve">URANGA </v>
      </c>
      <c r="F408" t="str">
        <v>ESCOLIOSIS</v>
      </c>
      <c r="G408" t="str">
        <v>TORN/BARRAS/DRIL</v>
      </c>
      <c r="H408" t="str">
        <v>VILLALBA</v>
      </c>
      <c r="I408" t="str">
        <v>ACEPTADO</v>
      </c>
      <c r="J408" t="str">
        <v>PARANÁ</v>
      </c>
      <c r="K408" t="str">
        <v>PAMI</v>
      </c>
      <c r="L408">
        <v>0</v>
      </c>
    </row>
    <row r="409" spans="2:12" x14ac:dyDescent="0.25">
      <c r="B409">
        <v>45357</v>
      </c>
      <c r="C409" t="str">
        <v xml:space="preserve">HAEDO NELIDA </v>
      </c>
      <c r="D409">
        <v>70</v>
      </c>
      <c r="E409" t="str">
        <v>CASERES</v>
      </c>
      <c r="F409" t="str">
        <v>C DERECHA</v>
      </c>
      <c r="G409" t="str">
        <v>ESPACIADOR</v>
      </c>
      <c r="H409" t="str">
        <v>VILLALBA</v>
      </c>
      <c r="I409" t="str">
        <v>ACEPTADO</v>
      </c>
      <c r="J409" t="str">
        <v>PARANÁ</v>
      </c>
      <c r="K409" t="str">
        <v>PAMI</v>
      </c>
      <c r="L409">
        <v>0</v>
      </c>
    </row>
    <row r="410" spans="2:12" x14ac:dyDescent="0.25">
      <c r="B410">
        <v>45357</v>
      </c>
      <c r="C410" t="str">
        <v xml:space="preserve">PALACIOS ELIDA </v>
      </c>
      <c r="D410">
        <v>77</v>
      </c>
      <c r="E410" t="str">
        <v>CASERES</v>
      </c>
      <c r="F410" t="str">
        <v>GONARTROSIS</v>
      </c>
      <c r="G410" t="str">
        <v>PTR PRIMARIA</v>
      </c>
      <c r="H410" t="str">
        <v>VILLALBA</v>
      </c>
      <c r="I410" t="str">
        <v>ACEPTADO</v>
      </c>
      <c r="J410" t="str">
        <v>PARANÁ</v>
      </c>
      <c r="K410" t="str">
        <v>PAMI</v>
      </c>
      <c r="L410">
        <v>0</v>
      </c>
    </row>
    <row r="411" spans="2:12" x14ac:dyDescent="0.25">
      <c r="B411">
        <v>45358</v>
      </c>
      <c r="C411" t="str">
        <v xml:space="preserve">SANCHEZ CARMEN </v>
      </c>
      <c r="D411">
        <v>75</v>
      </c>
      <c r="E411" t="str">
        <v>STOPELLO</v>
      </c>
      <c r="F411" t="str">
        <v>VARO COMPLEJO</v>
      </c>
      <c r="G411" t="str">
        <v xml:space="preserve">PTR DE REVISION </v>
      </c>
      <c r="H411" t="str">
        <v>VILLALBA</v>
      </c>
      <c r="I411" t="str">
        <v>ACEPTADO</v>
      </c>
      <c r="J411" t="str">
        <v>PARANÁ</v>
      </c>
      <c r="K411" t="str">
        <v>PAMI</v>
      </c>
      <c r="L411">
        <v>0</v>
      </c>
    </row>
    <row r="412" spans="2:12" x14ac:dyDescent="0.25">
      <c r="B412">
        <v>45358</v>
      </c>
      <c r="C412" t="str">
        <v>ARELLANO ADRIAN</v>
      </c>
      <c r="D412">
        <v>41</v>
      </c>
      <c r="E412" t="str">
        <v>GARCIA VITOR</v>
      </c>
      <c r="F412" t="str">
        <v>LCA</v>
      </c>
      <c r="G412" t="str">
        <v>TORN/ENDOBOTON</v>
      </c>
      <c r="H412">
        <v>0</v>
      </c>
      <c r="I412" t="str">
        <v>INICIADO</v>
      </c>
      <c r="J412" t="str">
        <v>VILLAGUAY</v>
      </c>
      <c r="K412" t="str">
        <v>S/M</v>
      </c>
      <c r="L412">
        <v>0</v>
      </c>
    </row>
    <row r="413" spans="2:12" x14ac:dyDescent="0.25">
      <c r="B413">
        <v>45359</v>
      </c>
      <c r="C413" t="str">
        <v>CABRERA GRISELDA</v>
      </c>
      <c r="D413">
        <v>64</v>
      </c>
      <c r="E413" t="str">
        <v>CASERES</v>
      </c>
      <c r="F413" t="str">
        <v>FX TOBILLO</v>
      </c>
      <c r="G413" t="str">
        <v>PLACA TERCI TUBO</v>
      </c>
      <c r="H413" t="str">
        <v>VILLALBA</v>
      </c>
      <c r="I413" t="str">
        <v>ACEPTADO</v>
      </c>
      <c r="J413" t="str">
        <v>PARANÁ</v>
      </c>
      <c r="K413" t="str">
        <v>PAMI</v>
      </c>
      <c r="L413">
        <v>0</v>
      </c>
    </row>
    <row r="414" spans="2:12" x14ac:dyDescent="0.25">
      <c r="B414">
        <v>45359</v>
      </c>
      <c r="C414" t="str">
        <v>RAMIREZ PATRICIA</v>
      </c>
      <c r="D414">
        <v>55</v>
      </c>
      <c r="E414" t="str">
        <v>GARCIA VITOR</v>
      </c>
      <c r="F414" t="str">
        <v>FX CADERA</v>
      </c>
      <c r="G414" t="str">
        <v>PTC NO CEMENT</v>
      </c>
      <c r="H414" t="str">
        <v xml:space="preserve">IP MAGNA </v>
      </c>
      <c r="I414" t="str">
        <v>ACEPTADO</v>
      </c>
      <c r="J414" t="str">
        <v>PARANÁ</v>
      </c>
      <c r="K414" t="str">
        <v>PAMI</v>
      </c>
      <c r="L414">
        <v>0</v>
      </c>
    </row>
    <row r="415" spans="2:12" x14ac:dyDescent="0.25">
      <c r="B415">
        <v>45362</v>
      </c>
      <c r="C415" t="str">
        <v xml:space="preserve">IBARRA MARIA LUISA </v>
      </c>
      <c r="D415">
        <v>75</v>
      </c>
      <c r="E415" t="str">
        <v>UCEDO</v>
      </c>
      <c r="F415" t="str">
        <v>HALLUXVALGO</v>
      </c>
      <c r="G415" t="str">
        <v>TORN TIPO BAROUK</v>
      </c>
      <c r="H415" t="str">
        <v>VILLALBA</v>
      </c>
      <c r="I415" t="str">
        <v>ACEPTADO</v>
      </c>
      <c r="J415" t="str">
        <v>PARANÁ</v>
      </c>
      <c r="K415" t="str">
        <v>PAMI</v>
      </c>
      <c r="L415">
        <v>0</v>
      </c>
    </row>
    <row r="416" spans="2:12" x14ac:dyDescent="0.25">
      <c r="B416">
        <v>45362</v>
      </c>
      <c r="C416" t="str">
        <v xml:space="preserve">LOPEZ SILVIA </v>
      </c>
      <c r="D416">
        <v>62</v>
      </c>
      <c r="E416" t="str">
        <v>GARCIA VITOR</v>
      </c>
      <c r="F416" t="str">
        <v>NECROSIS  CAD</v>
      </c>
      <c r="G416" t="str">
        <v>PTC NO CEMENT</v>
      </c>
      <c r="H416" t="str">
        <v xml:space="preserve">IP MAGNA </v>
      </c>
      <c r="I416" t="str">
        <v>ACEPTADO</v>
      </c>
      <c r="J416" t="str">
        <v>PARANÁ</v>
      </c>
      <c r="K416" t="str">
        <v>PAMI</v>
      </c>
      <c r="L416">
        <v>0</v>
      </c>
    </row>
    <row r="417" spans="2:12" x14ac:dyDescent="0.25">
      <c r="B417">
        <v>45362</v>
      </c>
      <c r="C417" t="str">
        <v>GERSTNER VICTORIA</v>
      </c>
      <c r="D417">
        <v>66</v>
      </c>
      <c r="E417" t="str">
        <v>STOPELLO</v>
      </c>
      <c r="F417" t="str">
        <v xml:space="preserve">COXARTROSIS </v>
      </c>
      <c r="G417" t="str">
        <v>PTC NO CEMENT</v>
      </c>
      <c r="H417" t="str">
        <v xml:space="preserve">IP MAGNA </v>
      </c>
      <c r="I417" t="str">
        <v>ACEPTADO</v>
      </c>
      <c r="J417" t="str">
        <v>PARANÁ</v>
      </c>
      <c r="K417" t="str">
        <v>PAMI</v>
      </c>
      <c r="L417">
        <v>0</v>
      </c>
    </row>
    <row r="418" spans="2:12" x14ac:dyDescent="0.25">
      <c r="B418">
        <v>45363</v>
      </c>
      <c r="C418" t="str">
        <v>ORELLANO MANUEL</v>
      </c>
      <c r="D418">
        <v>85</v>
      </c>
      <c r="E418" t="str">
        <v>CASERES</v>
      </c>
      <c r="F418" t="str">
        <v>FX PELVIS</v>
      </c>
      <c r="G418" t="str">
        <v>PLACA RECOSNT</v>
      </c>
      <c r="H418" t="str">
        <v>VILLALBA</v>
      </c>
      <c r="I418" t="str">
        <v>ACEPTADO</v>
      </c>
      <c r="J418" t="str">
        <v>PARANÁ</v>
      </c>
      <c r="K418" t="str">
        <v>PAMI</v>
      </c>
      <c r="L418">
        <v>0</v>
      </c>
    </row>
    <row r="419" spans="2:12" x14ac:dyDescent="0.25">
      <c r="B419">
        <v>45364</v>
      </c>
      <c r="C419" t="str">
        <v>GODOY RITA</v>
      </c>
      <c r="D419">
        <v>55</v>
      </c>
      <c r="E419" t="str">
        <v>CASERES</v>
      </c>
      <c r="F419" t="str">
        <v>FX CADERA</v>
      </c>
      <c r="G419" t="str">
        <v>PTC NO CEMENT</v>
      </c>
      <c r="H419" t="str">
        <v xml:space="preserve">URGENTE </v>
      </c>
      <c r="I419" t="str">
        <v>INICIADO</v>
      </c>
      <c r="J419" t="str">
        <v>PARANÁ</v>
      </c>
      <c r="K419" t="str">
        <v>S/M</v>
      </c>
      <c r="L419">
        <v>0</v>
      </c>
    </row>
    <row r="420" spans="2:12" x14ac:dyDescent="0.25">
      <c r="B420">
        <v>45376</v>
      </c>
      <c r="C420" t="str">
        <v>MONZON NERCEDES ELENA</v>
      </c>
      <c r="D420">
        <v>75</v>
      </c>
      <c r="E420">
        <v>0</v>
      </c>
      <c r="F420" t="str">
        <v>GONARTROSIS</v>
      </c>
      <c r="G420" t="str">
        <v>PTC DE ROD CON VAST</v>
      </c>
      <c r="H420" t="str">
        <v>VILLALBA</v>
      </c>
      <c r="I420" t="str">
        <v>ACEPTADO</v>
      </c>
      <c r="J420" t="str">
        <v>PARANÁ</v>
      </c>
      <c r="K420" t="str">
        <v>PAMI</v>
      </c>
      <c r="L420">
        <v>0</v>
      </c>
    </row>
    <row r="421" spans="2:12" x14ac:dyDescent="0.25">
      <c r="B421">
        <v>45376</v>
      </c>
      <c r="C421" t="str">
        <v>AVILES JUAN</v>
      </c>
      <c r="D421">
        <v>72</v>
      </c>
      <c r="E421" t="str">
        <v>CESAR MEYNET</v>
      </c>
      <c r="F421" t="str">
        <v>GENUVARO ART</v>
      </c>
      <c r="G421" t="str">
        <v>PTC ROD DERECHA</v>
      </c>
      <c r="H421" t="str">
        <v>VILLALBA</v>
      </c>
      <c r="I421" t="str">
        <v>ACEPTADO</v>
      </c>
      <c r="J421" t="str">
        <v>PARANÁ</v>
      </c>
      <c r="K421" t="str">
        <v>PAMI</v>
      </c>
      <c r="L421">
        <v>0</v>
      </c>
    </row>
    <row r="422" spans="2:12" x14ac:dyDescent="0.25">
      <c r="B422">
        <v>45376</v>
      </c>
      <c r="C422" t="str">
        <v>GAREIS YOLANDA</v>
      </c>
      <c r="D422">
        <v>69</v>
      </c>
      <c r="E422">
        <v>0</v>
      </c>
      <c r="F422" t="str">
        <v>GENUVARO ART</v>
      </c>
      <c r="G422" t="str">
        <v>REEMPLAZO T DE RODILLA</v>
      </c>
      <c r="H422">
        <v>0</v>
      </c>
      <c r="I422" t="str">
        <v>ACEPTADO</v>
      </c>
      <c r="J422" t="str">
        <v>PARANÁ</v>
      </c>
      <c r="K422" t="str">
        <v>PAMI</v>
      </c>
      <c r="L422">
        <v>0</v>
      </c>
    </row>
    <row r="423" spans="2:12" x14ac:dyDescent="0.25">
      <c r="B423">
        <v>45376</v>
      </c>
      <c r="C423" t="str">
        <v>PERALTA DIANA MARIA</v>
      </c>
      <c r="D423">
        <v>64</v>
      </c>
      <c r="E423">
        <v>0</v>
      </c>
      <c r="F423" t="str">
        <v>ARTROSIS</v>
      </c>
      <c r="G423" t="str">
        <v xml:space="preserve">PTC DE ROD  </v>
      </c>
      <c r="H423" t="str">
        <v>VILLALBA</v>
      </c>
      <c r="I423" t="str">
        <v>ACEPTADO</v>
      </c>
      <c r="J423" t="str">
        <v>PARANÁ</v>
      </c>
      <c r="K423" t="str">
        <v>PAMI</v>
      </c>
      <c r="L423">
        <v>0</v>
      </c>
    </row>
    <row r="424" spans="2:12" x14ac:dyDescent="0.25">
      <c r="B424">
        <v>45376</v>
      </c>
      <c r="C424" t="str">
        <v>WOLF NIDIA</v>
      </c>
      <c r="D424">
        <v>85</v>
      </c>
      <c r="E424" t="str">
        <v>CASERES</v>
      </c>
      <c r="F424" t="str">
        <v>FX CADERA IZQ</v>
      </c>
      <c r="G424" t="str">
        <v>PTC COTILO DOBLE MOV</v>
      </c>
      <c r="H424">
        <v>0</v>
      </c>
      <c r="I424" t="str">
        <v>ACEPTADO</v>
      </c>
      <c r="J424" t="str">
        <v>PARANÁ</v>
      </c>
      <c r="K424" t="str">
        <v>PAMI</v>
      </c>
      <c r="L424">
        <v>0</v>
      </c>
    </row>
    <row r="425" spans="2:12" x14ac:dyDescent="0.25">
      <c r="B425">
        <v>45376</v>
      </c>
      <c r="C425" t="str">
        <v>PEREYRA ALICIA LILIANA</v>
      </c>
      <c r="D425">
        <v>66</v>
      </c>
      <c r="E425" t="str">
        <v>CASERES</v>
      </c>
      <c r="F425" t="str">
        <v xml:space="preserve">FX DE MUÑECA </v>
      </c>
      <c r="G425" t="str">
        <v>PLACA EDR</v>
      </c>
      <c r="H425" t="str">
        <v xml:space="preserve">VILLALBA </v>
      </c>
      <c r="I425" t="str">
        <v>ACEPTADO</v>
      </c>
      <c r="J425" t="str">
        <v>PARANÁ</v>
      </c>
      <c r="K425" t="str">
        <v>PAMI</v>
      </c>
      <c r="L425">
        <v>0</v>
      </c>
    </row>
    <row r="426" spans="2:12" x14ac:dyDescent="0.25">
      <c r="B426">
        <v>45376</v>
      </c>
      <c r="C426" t="str">
        <v>BRITES DOLORES</v>
      </c>
      <c r="D426">
        <v>69</v>
      </c>
      <c r="E426" t="str">
        <v>CASERES</v>
      </c>
      <c r="F426" t="str">
        <v>FX DE CADERA</v>
      </c>
      <c r="G426" t="str">
        <v xml:space="preserve">CLAVO DHS </v>
      </c>
      <c r="H426">
        <v>0</v>
      </c>
      <c r="I426" t="str">
        <v>ACEPTADO</v>
      </c>
      <c r="J426" t="str">
        <v>PARANÁ</v>
      </c>
      <c r="K426" t="str">
        <v>PAMI</v>
      </c>
      <c r="L426">
        <v>0</v>
      </c>
    </row>
    <row r="427" spans="2:12" x14ac:dyDescent="0.25">
      <c r="B427">
        <v>45376</v>
      </c>
      <c r="C427" t="str">
        <v>TOSAS NORMA</v>
      </c>
      <c r="D427">
        <v>72</v>
      </c>
      <c r="E427" t="str">
        <v>CATRIEL GODOY</v>
      </c>
      <c r="F427" t="str">
        <v xml:space="preserve">FX HUMERO </v>
      </c>
      <c r="G427" t="str">
        <v>PLACA PHILO</v>
      </c>
      <c r="H427" t="str">
        <v>VILLALBA</v>
      </c>
      <c r="I427" t="str">
        <v>ACEPTADO</v>
      </c>
      <c r="J427" t="str">
        <v>PARANÁ</v>
      </c>
      <c r="K427" t="str">
        <v>PAMI</v>
      </c>
      <c r="L427">
        <v>0</v>
      </c>
    </row>
    <row r="428" spans="2:12" x14ac:dyDescent="0.25">
      <c r="B428">
        <v>45377</v>
      </c>
      <c r="C428" t="str">
        <v>GAREIS YOLANDA</v>
      </c>
      <c r="D428">
        <v>69</v>
      </c>
      <c r="E428">
        <v>0</v>
      </c>
      <c r="F428" t="str">
        <v>GENUVARO AR</v>
      </c>
      <c r="G428" t="str">
        <v>REEMPLAZO ROD</v>
      </c>
      <c r="H428">
        <v>0</v>
      </c>
      <c r="I428" t="str">
        <v>ACEPTADO</v>
      </c>
      <c r="J428" t="str">
        <v>PARANÁ</v>
      </c>
      <c r="K428" t="str">
        <v>PAMI</v>
      </c>
      <c r="L428">
        <v>0</v>
      </c>
    </row>
    <row r="429" spans="2:12" x14ac:dyDescent="0.25">
      <c r="B429">
        <v>45378</v>
      </c>
      <c r="C429" t="str">
        <v>GALVAN JOSE</v>
      </c>
      <c r="D429">
        <v>42</v>
      </c>
      <c r="E429" t="str">
        <v>CASERES</v>
      </c>
      <c r="F429" t="str">
        <v>FX CALCANEO</v>
      </c>
      <c r="G429" t="str">
        <v>SET DE TORNILLOS CANUL</v>
      </c>
      <c r="H429">
        <v>0</v>
      </c>
      <c r="I429" t="str">
        <v>ACEPTADO</v>
      </c>
      <c r="J429">
        <v>0</v>
      </c>
      <c r="K429" t="str">
        <v>S/M</v>
      </c>
      <c r="L429">
        <v>0</v>
      </c>
    </row>
    <row r="430" spans="2:12" x14ac:dyDescent="0.25">
      <c r="B430">
        <v>45385</v>
      </c>
      <c r="C430" t="str">
        <v>GODOY MATIAS</v>
      </c>
      <c r="D430">
        <v>36</v>
      </c>
      <c r="E430" t="str">
        <v>CASERES</v>
      </c>
      <c r="F430" t="str">
        <v>FX CADERA</v>
      </c>
      <c r="G430" t="str">
        <v>CLAVO GAMMA</v>
      </c>
      <c r="H430" t="str">
        <v xml:space="preserve">VILLALBA </v>
      </c>
      <c r="I430" t="str">
        <v>ACEPTADO</v>
      </c>
      <c r="J430" t="str">
        <v>PARANÁ</v>
      </c>
      <c r="K430" t="str">
        <v>PAMI</v>
      </c>
      <c r="L430">
        <v>0</v>
      </c>
    </row>
    <row r="431" spans="2:12" x14ac:dyDescent="0.25">
      <c r="B431">
        <v>45386</v>
      </c>
      <c r="C431" t="str">
        <v>PEREZ AURELIA</v>
      </c>
      <c r="D431">
        <v>66</v>
      </c>
      <c r="E431">
        <v>0</v>
      </c>
      <c r="F431" t="str">
        <v>GONARTROSIS</v>
      </c>
      <c r="G431" t="str">
        <v>PROTESIS DE RODILLA</v>
      </c>
      <c r="H431" t="str">
        <v xml:space="preserve">VILLALBA </v>
      </c>
      <c r="I431" t="str">
        <v>ACEPTADO</v>
      </c>
      <c r="J431" t="str">
        <v>PARANÁ</v>
      </c>
      <c r="K431" t="str">
        <v>PAMI</v>
      </c>
      <c r="L431">
        <v>0</v>
      </c>
    </row>
    <row r="432" spans="2:12" x14ac:dyDescent="0.25">
      <c r="B432">
        <v>45387</v>
      </c>
      <c r="C432" t="str">
        <v>MANZANO EDUARDO</v>
      </c>
      <c r="D432">
        <v>68</v>
      </c>
      <c r="E432" t="str">
        <v>CASERES</v>
      </c>
      <c r="F432" t="str">
        <v>FX TIBIA Y PER</v>
      </c>
      <c r="G432" t="str">
        <v xml:space="preserve">CLAVO DE TIBIA </v>
      </c>
      <c r="H432">
        <v>0</v>
      </c>
      <c r="I432" t="str">
        <v>ACEPTADO</v>
      </c>
      <c r="J432" t="str">
        <v>PARANÁ</v>
      </c>
      <c r="K432" t="str">
        <v>PAMI</v>
      </c>
      <c r="L432">
        <v>0</v>
      </c>
    </row>
    <row r="433" spans="2:12" x14ac:dyDescent="0.25">
      <c r="B433">
        <v>45387</v>
      </c>
      <c r="C433" t="str">
        <v>ERHAT LEA TERESA</v>
      </c>
      <c r="D433">
        <v>72</v>
      </c>
      <c r="E433" t="str">
        <v>YACOMO</v>
      </c>
      <c r="F433" t="str">
        <v>GONARTROSIS</v>
      </c>
      <c r="G433" t="str">
        <v>PLACA PHILO</v>
      </c>
      <c r="H433">
        <v>0</v>
      </c>
      <c r="I433" t="str">
        <v>ACEPTADO</v>
      </c>
      <c r="J433" t="str">
        <v>PARANÁ</v>
      </c>
      <c r="K433" t="str">
        <v>PAMI</v>
      </c>
      <c r="L433">
        <v>0</v>
      </c>
    </row>
    <row r="434" spans="2:12" x14ac:dyDescent="0.25">
      <c r="B434">
        <v>45387</v>
      </c>
      <c r="C434" t="str">
        <v>MARTINEZ SUSANA</v>
      </c>
      <c r="D434">
        <v>0</v>
      </c>
      <c r="E434" t="str">
        <v>GARCIA VITOR</v>
      </c>
      <c r="F434" t="str">
        <v>COXARTROSIS</v>
      </c>
      <c r="G434" t="str">
        <v>PTC COTILO DOBLE M TALLO FEMORAL</v>
      </c>
      <c r="H434">
        <v>0</v>
      </c>
      <c r="I434" t="str">
        <v>ACEPTADO</v>
      </c>
      <c r="J434" t="str">
        <v>VILLAGUAY</v>
      </c>
      <c r="K434" t="str">
        <v>S/M</v>
      </c>
      <c r="L434">
        <v>0</v>
      </c>
    </row>
    <row r="435" spans="2:12" x14ac:dyDescent="0.25">
      <c r="B435">
        <v>45390</v>
      </c>
      <c r="C435" t="str">
        <v>PABON CELINA LUISA</v>
      </c>
      <c r="D435">
        <v>64</v>
      </c>
      <c r="E435" t="str">
        <v>UCEDO</v>
      </c>
      <c r="F435" t="str">
        <v>FX MUÑECA</v>
      </c>
      <c r="G435" t="str">
        <v>PLACA EDR</v>
      </c>
      <c r="H435" t="str">
        <v xml:space="preserve">VILLALBA </v>
      </c>
      <c r="I435" t="str">
        <v>ACEPTADO</v>
      </c>
      <c r="J435" t="str">
        <v>PARANÁ</v>
      </c>
      <c r="K435" t="str">
        <v>PAMI</v>
      </c>
      <c r="L435">
        <v>0</v>
      </c>
    </row>
    <row r="436" spans="2:12" x14ac:dyDescent="0.25">
      <c r="B436">
        <v>45390</v>
      </c>
      <c r="C436" t="str">
        <v>EBERHARDT RAQUEL</v>
      </c>
      <c r="D436">
        <v>89</v>
      </c>
      <c r="E436" t="str">
        <v>CASERES</v>
      </c>
      <c r="F436" t="str">
        <v>FX CADERA</v>
      </c>
      <c r="G436" t="str">
        <v>CLAVO GAMMA</v>
      </c>
      <c r="H436" t="str">
        <v xml:space="preserve">VILLALBA </v>
      </c>
      <c r="I436" t="str">
        <v>ACEPTADO</v>
      </c>
      <c r="J436" t="str">
        <v>PARANÁ</v>
      </c>
      <c r="K436" t="str">
        <v>PAMI</v>
      </c>
      <c r="L436">
        <v>0</v>
      </c>
    </row>
    <row r="437" spans="2:12" x14ac:dyDescent="0.25">
      <c r="B437">
        <v>45390</v>
      </c>
      <c r="C437" t="str">
        <v>MESA BERNARDO</v>
      </c>
      <c r="D437">
        <v>75</v>
      </c>
      <c r="E437" t="str">
        <v>CASERES</v>
      </c>
      <c r="F437" t="str">
        <v>FX CADERA</v>
      </c>
      <c r="G437" t="str">
        <v>CLAVO GAMMA</v>
      </c>
      <c r="H437" t="str">
        <v xml:space="preserve">VILLALBA </v>
      </c>
      <c r="I437" t="str">
        <v>ACEPTADO</v>
      </c>
      <c r="J437" t="str">
        <v>PARANÁ</v>
      </c>
      <c r="K437" t="str">
        <v>PAMI</v>
      </c>
      <c r="L437">
        <v>0</v>
      </c>
    </row>
    <row r="438" spans="2:12" x14ac:dyDescent="0.25">
      <c r="B438">
        <v>45390</v>
      </c>
      <c r="C438" t="str">
        <v>BRASSEUR AMALIA</v>
      </c>
      <c r="D438">
        <v>79</v>
      </c>
      <c r="E438" t="str">
        <v>CASERES</v>
      </c>
      <c r="F438" t="str">
        <v>FX MUÑECA</v>
      </c>
      <c r="G438" t="str">
        <v>PLACA EDR</v>
      </c>
      <c r="H438" t="str">
        <v xml:space="preserve">VILLALBA </v>
      </c>
      <c r="I438" t="str">
        <v>ACEPTADO</v>
      </c>
      <c r="J438" t="str">
        <v>PARANÁ</v>
      </c>
      <c r="K438" t="str">
        <v>PAMI</v>
      </c>
      <c r="L438">
        <v>0</v>
      </c>
    </row>
    <row r="439" spans="2:12" x14ac:dyDescent="0.25">
      <c r="B439">
        <v>45390</v>
      </c>
      <c r="C439" t="str">
        <v>VILLAVERDE ALICIA</v>
      </c>
      <c r="D439">
        <v>69</v>
      </c>
      <c r="E439" t="str">
        <v>UCEDO</v>
      </c>
      <c r="F439" t="str">
        <v>HALLUX VALGUS</v>
      </c>
      <c r="G439" t="str">
        <v>TORNILLO BAROUK CLAVI</v>
      </c>
      <c r="H439" t="str">
        <v xml:space="preserve">VILLALBA </v>
      </c>
      <c r="I439" t="str">
        <v>ACEPTADO</v>
      </c>
      <c r="J439" t="str">
        <v>PARANÁ</v>
      </c>
      <c r="K439" t="str">
        <v>PAMI</v>
      </c>
      <c r="L439">
        <v>0</v>
      </c>
    </row>
    <row r="440" spans="2:12" x14ac:dyDescent="0.25">
      <c r="B440">
        <v>45390</v>
      </c>
      <c r="C440" t="str">
        <v>SCRIBANTI SANTINA</v>
      </c>
      <c r="D440">
        <v>71</v>
      </c>
      <c r="E440" t="str">
        <v>CASERES</v>
      </c>
      <c r="F440" t="str">
        <v>FX HUMERO</v>
      </c>
      <c r="G440" t="str">
        <v>PLACA PHILO T CANULAD</v>
      </c>
      <c r="H440" t="str">
        <v xml:space="preserve">VILLALBA </v>
      </c>
      <c r="I440" t="str">
        <v>ACEPTADO</v>
      </c>
      <c r="J440" t="str">
        <v>PARANÁ</v>
      </c>
      <c r="K440" t="str">
        <v>PAMI</v>
      </c>
      <c r="L440">
        <v>0</v>
      </c>
    </row>
    <row r="441" spans="2:12" x14ac:dyDescent="0.25">
      <c r="B441">
        <v>45390</v>
      </c>
      <c r="C441" t="str">
        <v>COLLIARD ANDREA</v>
      </c>
      <c r="D441">
        <v>32</v>
      </c>
      <c r="E441" t="str">
        <v>GARCIA VITOR</v>
      </c>
      <c r="F441" t="str">
        <v>OSTEOARTRITIS</v>
      </c>
      <c r="G441" t="str">
        <v>ACIDO HIALURONICO JERIN</v>
      </c>
      <c r="H441">
        <v>0</v>
      </c>
      <c r="I441" t="str">
        <v>ACEPTADO</v>
      </c>
      <c r="J441" t="str">
        <v>PARANÁ</v>
      </c>
      <c r="K441" t="str">
        <v>S/M</v>
      </c>
      <c r="L441">
        <v>0</v>
      </c>
    </row>
    <row r="442" spans="2:12" x14ac:dyDescent="0.25">
      <c r="B442">
        <v>45390</v>
      </c>
      <c r="C442" t="str">
        <v xml:space="preserve">OJEDA URIEL </v>
      </c>
      <c r="D442">
        <v>16</v>
      </c>
      <c r="E442" t="str">
        <v>GARCIA VITOR</v>
      </c>
      <c r="F442" t="str">
        <v>LCA</v>
      </c>
      <c r="G442" t="str">
        <v>PLANTILLAS</v>
      </c>
      <c r="H442">
        <v>0</v>
      </c>
      <c r="I442" t="str">
        <v>ACEPTADO</v>
      </c>
      <c r="J442" t="str">
        <v>PARANÁ</v>
      </c>
      <c r="K442" t="str">
        <v>S/M</v>
      </c>
      <c r="L442">
        <v>0</v>
      </c>
    </row>
    <row r="443" spans="2:12" x14ac:dyDescent="0.25">
      <c r="B443">
        <v>45390</v>
      </c>
      <c r="C443" t="str">
        <v>DUARTE FEDERICO</v>
      </c>
      <c r="D443">
        <v>28</v>
      </c>
      <c r="E443">
        <v>0</v>
      </c>
      <c r="F443" t="str">
        <v>SECCION TEN AQ</v>
      </c>
      <c r="G443" t="str">
        <v>ARPON 4,5</v>
      </c>
      <c r="H443">
        <v>0</v>
      </c>
      <c r="I443" t="str">
        <v>ACEPTADO</v>
      </c>
      <c r="J443" t="str">
        <v>PARANÁ</v>
      </c>
      <c r="K443" t="str">
        <v>S/M</v>
      </c>
      <c r="L443">
        <v>0</v>
      </c>
    </row>
    <row r="444" spans="2:12" x14ac:dyDescent="0.25">
      <c r="B444">
        <v>45390</v>
      </c>
      <c r="C444" t="str">
        <v>ALBORNOZ IVAN</v>
      </c>
      <c r="D444">
        <v>23</v>
      </c>
      <c r="E444" t="str">
        <v>GARCIA VITOR</v>
      </c>
      <c r="F444" t="str">
        <v>FX CADERA</v>
      </c>
      <c r="G444" t="str">
        <v>CLAVO DHS CLAVO FEMUR</v>
      </c>
      <c r="H444">
        <v>0</v>
      </c>
      <c r="I444" t="str">
        <v>ACEPTADO</v>
      </c>
      <c r="J444" t="str">
        <v>PARANÁ</v>
      </c>
      <c r="K444" t="str">
        <v>S/M</v>
      </c>
      <c r="L444">
        <v>0</v>
      </c>
    </row>
    <row r="445" spans="2:12" x14ac:dyDescent="0.25">
      <c r="B445">
        <v>45392</v>
      </c>
      <c r="C445" t="str">
        <v>PANICALI NICOLAS</v>
      </c>
      <c r="D445">
        <v>17</v>
      </c>
      <c r="E445" t="str">
        <v xml:space="preserve">HERMIDA </v>
      </c>
      <c r="F445" t="str">
        <v>LCA</v>
      </c>
      <c r="G445" t="str">
        <v>ENDOBOTON TOR INTER  SET DE SUTURA MEÑISCAL</v>
      </c>
      <c r="H445">
        <v>0</v>
      </c>
      <c r="I445" t="str">
        <v>ACEPTADO</v>
      </c>
      <c r="J445" t="str">
        <v>ALCARAZ</v>
      </c>
      <c r="K445" t="str">
        <v>S/M</v>
      </c>
      <c r="L445">
        <v>0</v>
      </c>
    </row>
    <row r="446" spans="2:12" x14ac:dyDescent="0.25">
      <c r="B446">
        <v>45392</v>
      </c>
      <c r="C446" t="str">
        <v>GOROSITO GRISELDA</v>
      </c>
      <c r="D446">
        <v>58</v>
      </c>
      <c r="E446" t="str">
        <v>GARCIA VITOR</v>
      </c>
      <c r="F446" t="str">
        <v>GENUVARO ART</v>
      </c>
      <c r="G446" t="str">
        <v>PTC RODILLA DERECHA</v>
      </c>
      <c r="H446">
        <v>0</v>
      </c>
      <c r="I446" t="str">
        <v>ACEPTADO</v>
      </c>
      <c r="J446" t="str">
        <v>VILLAGUAY</v>
      </c>
      <c r="K446" t="str">
        <v>S/M</v>
      </c>
      <c r="L446">
        <v>0</v>
      </c>
    </row>
    <row r="447" spans="2:12" x14ac:dyDescent="0.25">
      <c r="B447">
        <v>45392</v>
      </c>
      <c r="C447" t="str">
        <v>GAZAGNE LIBERTAD</v>
      </c>
      <c r="D447">
        <v>82</v>
      </c>
      <c r="E447" t="str">
        <v>CASERES</v>
      </c>
      <c r="F447" t="str">
        <v>FX CADERA</v>
      </c>
      <c r="G447" t="str">
        <v>PTC THOMPSON</v>
      </c>
      <c r="H447" t="str">
        <v xml:space="preserve">VILLALBA </v>
      </c>
      <c r="I447" t="str">
        <v>ACEPTADO</v>
      </c>
      <c r="J447" t="str">
        <v>PARANÁ</v>
      </c>
      <c r="K447" t="str">
        <v>PAMI</v>
      </c>
      <c r="L447">
        <v>0</v>
      </c>
    </row>
    <row r="448" spans="2:12" x14ac:dyDescent="0.25">
      <c r="B448">
        <v>45392</v>
      </c>
      <c r="C448" t="str">
        <v>GODOY GASTON</v>
      </c>
      <c r="D448">
        <v>45</v>
      </c>
      <c r="E448" t="str">
        <v>GARCIA VITOR</v>
      </c>
      <c r="F448" t="str">
        <v>LCA</v>
      </c>
      <c r="G448" t="str">
        <v>BOTON AUTOAJUSTABLE</v>
      </c>
      <c r="H448">
        <v>0</v>
      </c>
      <c r="I448" t="str">
        <v>ACEPTADO</v>
      </c>
      <c r="J448" t="str">
        <v>PARANÁ</v>
      </c>
      <c r="K448" t="str">
        <v>S/M</v>
      </c>
      <c r="L448">
        <v>0</v>
      </c>
    </row>
    <row r="449" spans="2:12" x14ac:dyDescent="0.25">
      <c r="B449">
        <v>45393</v>
      </c>
      <c r="C449" t="str">
        <v>SANCHEZ MARIA</v>
      </c>
      <c r="D449">
        <v>72</v>
      </c>
      <c r="E449" t="str">
        <v>STOPELLO</v>
      </c>
      <c r="F449" t="str">
        <v>GONARTROSIS</v>
      </c>
      <c r="G449" t="str">
        <v>SIST DE RODILLA PARA RTR CEMENTADO COM FEM</v>
      </c>
      <c r="H449">
        <v>0</v>
      </c>
      <c r="I449" t="str">
        <v>ACEPTADO</v>
      </c>
      <c r="J449" t="str">
        <v>RAMIREZ</v>
      </c>
      <c r="K449" t="str">
        <v>S/M</v>
      </c>
      <c r="L449">
        <v>0</v>
      </c>
    </row>
    <row r="450" spans="2:12" x14ac:dyDescent="0.25">
      <c r="B450">
        <v>45393</v>
      </c>
      <c r="C450" t="str">
        <v>FORZIATI ANGELA</v>
      </c>
      <c r="D450">
        <v>79</v>
      </c>
      <c r="E450" t="str">
        <v>YACOMO</v>
      </c>
      <c r="F450" t="str">
        <v>OSTEOTOMIA HV</v>
      </c>
      <c r="G450" t="str">
        <v>TORNILLO DE HERBERT</v>
      </c>
      <c r="H450" t="str">
        <v xml:space="preserve">VILLALBA </v>
      </c>
      <c r="I450" t="str">
        <v>ACEPTADO</v>
      </c>
      <c r="J450" t="str">
        <v>PARANÁ</v>
      </c>
      <c r="K450" t="str">
        <v>PAMI</v>
      </c>
      <c r="L450">
        <v>0</v>
      </c>
    </row>
    <row r="451" spans="2:12" x14ac:dyDescent="0.25">
      <c r="B451">
        <v>45393</v>
      </c>
      <c r="C451" t="str">
        <v>SUCARRAT MIGUEL</v>
      </c>
      <c r="D451">
        <v>75</v>
      </c>
      <c r="E451" t="str">
        <v>STOPELLO</v>
      </c>
      <c r="F451">
        <v>0</v>
      </c>
      <c r="G451" t="str">
        <v>RTR ANATOMICO MODUL</v>
      </c>
      <c r="H451" t="str">
        <v xml:space="preserve">VILLALBA </v>
      </c>
      <c r="I451" t="str">
        <v>ACEPTADO</v>
      </c>
      <c r="J451" t="str">
        <v>PARANÁ</v>
      </c>
      <c r="K451" t="str">
        <v>PAMI</v>
      </c>
      <c r="L451">
        <v>0</v>
      </c>
    </row>
    <row r="452" spans="2:12" x14ac:dyDescent="0.25">
      <c r="B452">
        <v>45394</v>
      </c>
      <c r="C452" t="str">
        <v>PROSS DELIA</v>
      </c>
      <c r="D452">
        <v>76</v>
      </c>
      <c r="E452">
        <v>0</v>
      </c>
      <c r="F452" t="str">
        <v>FX CADERA</v>
      </c>
      <c r="G452" t="str">
        <v>CLAVO GAMMA</v>
      </c>
      <c r="H452" t="str">
        <v xml:space="preserve">VILLALBA </v>
      </c>
      <c r="I452" t="str">
        <v>ACEPTADO</v>
      </c>
      <c r="J452" t="str">
        <v xml:space="preserve">PARANÁ </v>
      </c>
      <c r="K452" t="str">
        <v>PAMI</v>
      </c>
      <c r="L452">
        <v>0</v>
      </c>
    </row>
    <row r="453" spans="2:12" x14ac:dyDescent="0.25">
      <c r="B453">
        <v>45394</v>
      </c>
      <c r="C453" t="str">
        <v>PATIÑO DAMARIS</v>
      </c>
      <c r="D453">
        <v>16</v>
      </c>
      <c r="E453" t="str">
        <v>CASERES</v>
      </c>
      <c r="F453" t="str">
        <v>FX TOBILLO</v>
      </c>
      <c r="G453" t="str">
        <v>PLACA TERCIO TUBO</v>
      </c>
      <c r="H453">
        <v>0</v>
      </c>
      <c r="I453" t="str">
        <v>ACEPTADO</v>
      </c>
      <c r="J453" t="str">
        <v>PARANÁ</v>
      </c>
      <c r="K453" t="str">
        <v>S/M</v>
      </c>
      <c r="L453">
        <v>0</v>
      </c>
    </row>
    <row r="454" spans="2:12" x14ac:dyDescent="0.25">
      <c r="B454">
        <v>45397</v>
      </c>
      <c r="C454" t="str">
        <v>VENENCIO AURORA</v>
      </c>
      <c r="D454">
        <v>45</v>
      </c>
      <c r="E454" t="str">
        <v>CASERES</v>
      </c>
      <c r="F454" t="str">
        <v>FX MUÑECA</v>
      </c>
      <c r="G454" t="str">
        <v>PLACA EDR</v>
      </c>
      <c r="H454">
        <v>0</v>
      </c>
      <c r="I454" t="str">
        <v>ACEPTADO</v>
      </c>
      <c r="J454" t="str">
        <v>PARANÁ</v>
      </c>
      <c r="K454" t="str">
        <v>S/M</v>
      </c>
      <c r="L454">
        <v>0</v>
      </c>
    </row>
    <row r="455" spans="2:12" x14ac:dyDescent="0.25">
      <c r="B455">
        <v>45398</v>
      </c>
      <c r="C455" t="str">
        <v>RAMALLO MIRTA</v>
      </c>
      <c r="D455">
        <v>74</v>
      </c>
      <c r="E455" t="str">
        <v>UCEDO</v>
      </c>
      <c r="F455" t="str">
        <v>FX CADERA</v>
      </c>
      <c r="G455" t="str">
        <v>PTC COTILO DM TALLO LY C</v>
      </c>
      <c r="H455" t="str">
        <v xml:space="preserve">VILLALBA </v>
      </c>
      <c r="I455" t="str">
        <v>ACEPTADO</v>
      </c>
      <c r="J455" t="str">
        <v>PARANÁ</v>
      </c>
      <c r="K455" t="str">
        <v>PAMI</v>
      </c>
      <c r="L455">
        <v>0</v>
      </c>
    </row>
    <row r="456" spans="2:12" x14ac:dyDescent="0.25">
      <c r="B456">
        <v>45398</v>
      </c>
      <c r="C456" t="str">
        <v>AGUILAR MARIA EVA</v>
      </c>
      <c r="D456">
        <v>71</v>
      </c>
      <c r="E456" t="str">
        <v>CASERES</v>
      </c>
      <c r="F456" t="str">
        <v>FX MUÑECA</v>
      </c>
      <c r="G456" t="str">
        <v>PLACA EDR DOBLE HILERA</v>
      </c>
      <c r="H456" t="str">
        <v xml:space="preserve">VILLALBA </v>
      </c>
      <c r="I456" t="str">
        <v>ACEPTADO</v>
      </c>
      <c r="J456" t="str">
        <v>PARANÁ</v>
      </c>
      <c r="K456" t="str">
        <v>PAMI</v>
      </c>
      <c r="L456">
        <v>0</v>
      </c>
    </row>
    <row r="457" spans="2:12" x14ac:dyDescent="0.25">
      <c r="B457">
        <v>45399</v>
      </c>
      <c r="C457" t="str">
        <v>MORALES IRMA LORENZA</v>
      </c>
      <c r="D457">
        <v>72</v>
      </c>
      <c r="E457" t="str">
        <v>CASERES</v>
      </c>
      <c r="F457" t="str">
        <v>FX MUÑECA</v>
      </c>
      <c r="G457" t="str">
        <v>PLACA EDR DOBLE HILERA</v>
      </c>
      <c r="H457" t="str">
        <v xml:space="preserve">VILLALBA </v>
      </c>
      <c r="I457" t="str">
        <v>ACEPTADO</v>
      </c>
      <c r="J457" t="str">
        <v>PARANÁ</v>
      </c>
      <c r="K457" t="str">
        <v>PAMI</v>
      </c>
      <c r="L457">
        <v>0</v>
      </c>
    </row>
    <row r="458" spans="2:12" x14ac:dyDescent="0.25">
      <c r="B458">
        <v>45399</v>
      </c>
      <c r="C458" t="str">
        <v>WAGNER OLGA</v>
      </c>
      <c r="D458">
        <v>77</v>
      </c>
      <c r="E458" t="str">
        <v>GARCIA VITOR</v>
      </c>
      <c r="F458" t="str">
        <v>AFLOJAMIE URT</v>
      </c>
      <c r="G458" t="str">
        <v>ESPACIADOR</v>
      </c>
      <c r="H458" t="str">
        <v xml:space="preserve">VILLALBA </v>
      </c>
      <c r="I458" t="str">
        <v>ACEPTADO</v>
      </c>
      <c r="J458" t="str">
        <v>PARANÁ</v>
      </c>
      <c r="K458" t="str">
        <v>PAMI</v>
      </c>
      <c r="L458">
        <v>0</v>
      </c>
    </row>
    <row r="459" spans="2:12" x14ac:dyDescent="0.25">
      <c r="B459">
        <v>45399</v>
      </c>
      <c r="C459" t="str">
        <v>FRIES RUBEN</v>
      </c>
      <c r="D459">
        <v>74</v>
      </c>
      <c r="E459" t="str">
        <v>GARCIA VITOR</v>
      </c>
      <c r="F459" t="str">
        <v>INFECC PERIPRO</v>
      </c>
      <c r="G459" t="str">
        <v>ESPACIADOR</v>
      </c>
      <c r="H459" t="str">
        <v xml:space="preserve">VILLALBA </v>
      </c>
      <c r="I459" t="str">
        <v>ACEPTADO</v>
      </c>
      <c r="J459" t="str">
        <v>PARANÁ</v>
      </c>
      <c r="K459" t="str">
        <v>PAMI</v>
      </c>
      <c r="L459">
        <v>0</v>
      </c>
    </row>
    <row r="460" spans="2:12" x14ac:dyDescent="0.25">
      <c r="B460">
        <v>45399</v>
      </c>
      <c r="C460" t="str">
        <v>CHARVEY ELSA</v>
      </c>
      <c r="D460">
        <v>67</v>
      </c>
      <c r="E460" t="str">
        <v>STOPELLO</v>
      </c>
      <c r="F460" t="str">
        <v>GONARTROSIS</v>
      </c>
      <c r="G460" t="str">
        <v>PTR DERECHA</v>
      </c>
      <c r="H460" t="str">
        <v xml:space="preserve">VILLALBA </v>
      </c>
      <c r="I460" t="str">
        <v>ACEPTADO</v>
      </c>
      <c r="J460" t="str">
        <v>PARANÁ</v>
      </c>
      <c r="K460" t="str">
        <v>PAMI</v>
      </c>
      <c r="L460">
        <v>0</v>
      </c>
    </row>
    <row r="461" spans="2:12" x14ac:dyDescent="0.25">
      <c r="B461">
        <v>45399</v>
      </c>
      <c r="C461" t="str">
        <v>CONSTANTE SILVIA</v>
      </c>
      <c r="D461">
        <v>63</v>
      </c>
      <c r="E461" t="str">
        <v>STOPELLO</v>
      </c>
      <c r="F461" t="str">
        <v>GONARTROSIS</v>
      </c>
      <c r="G461" t="str">
        <v>PTR IZQUIERDA</v>
      </c>
      <c r="H461" t="str">
        <v xml:space="preserve">VILLALBA </v>
      </c>
      <c r="I461" t="str">
        <v>ACEPTADO</v>
      </c>
      <c r="J461" t="str">
        <v>PARANÁ</v>
      </c>
      <c r="K461" t="str">
        <v>PAMI</v>
      </c>
      <c r="L461">
        <v>0</v>
      </c>
    </row>
    <row r="462" spans="2:12" x14ac:dyDescent="0.25">
      <c r="B462">
        <v>45400</v>
      </c>
      <c r="C462" t="str">
        <v>ALACANO JUAN</v>
      </c>
      <c r="D462">
        <v>58</v>
      </c>
      <c r="E462" t="str">
        <v>STOPELLO</v>
      </c>
      <c r="F462" t="str">
        <v>GONARTROSIS</v>
      </c>
      <c r="G462" t="str">
        <v>SIST DE RODILLA PARA RTR CEMENTADO COM FEM</v>
      </c>
      <c r="H462">
        <v>0</v>
      </c>
      <c r="I462" t="str">
        <v>ACEPTADO</v>
      </c>
      <c r="J462" t="str">
        <v>PARANÁ</v>
      </c>
      <c r="K462" t="str">
        <v>S/M</v>
      </c>
      <c r="L462">
        <v>0</v>
      </c>
    </row>
    <row r="463" spans="2:12" x14ac:dyDescent="0.25">
      <c r="B463">
        <v>45400</v>
      </c>
      <c r="C463" t="str">
        <v>CARRARA JULIO</v>
      </c>
      <c r="D463">
        <v>78</v>
      </c>
      <c r="E463" t="str">
        <v>CATRIEL GODOY</v>
      </c>
      <c r="F463" t="str">
        <v>OSTEOSINTESIS</v>
      </c>
      <c r="G463" t="str">
        <v>PLACA DHS</v>
      </c>
      <c r="H463" t="str">
        <v xml:space="preserve">VILLALBA </v>
      </c>
      <c r="I463" t="str">
        <v>ACEPTADO</v>
      </c>
      <c r="J463" t="str">
        <v>PARANÁ</v>
      </c>
      <c r="K463" t="str">
        <v>PAMI</v>
      </c>
      <c r="L463">
        <v>0</v>
      </c>
    </row>
    <row r="464" spans="2:12" x14ac:dyDescent="0.25">
      <c r="B464">
        <v>45406</v>
      </c>
      <c r="C464" t="str">
        <v>DEL VALLE ORLANDO</v>
      </c>
      <c r="D464">
        <v>75</v>
      </c>
      <c r="E464" t="str">
        <v>STOPELLO</v>
      </c>
      <c r="F464" t="str">
        <v>AFLOJAMIENTO P</v>
      </c>
      <c r="G464" t="str">
        <v>PTC DE REVISION</v>
      </c>
      <c r="H464" t="str">
        <v xml:space="preserve">VILLALBA </v>
      </c>
      <c r="I464" t="str">
        <v>ACEPTADO</v>
      </c>
      <c r="J464" t="str">
        <v>PARANÁ</v>
      </c>
      <c r="K464" t="str">
        <v>PAMI</v>
      </c>
      <c r="L464">
        <v>0</v>
      </c>
    </row>
    <row r="465" spans="2:12" x14ac:dyDescent="0.25">
      <c r="B465">
        <v>45406</v>
      </c>
      <c r="C465" t="str">
        <v>PEIRANO PATRICIA</v>
      </c>
      <c r="D465">
        <v>64</v>
      </c>
      <c r="E465" t="str">
        <v>GARCIA VITOR</v>
      </c>
      <c r="F465" t="str">
        <v>FX MUÑECA</v>
      </c>
      <c r="G465" t="str">
        <v>PLACA DOBLE HILERA</v>
      </c>
      <c r="H465" t="str">
        <v xml:space="preserve">VILLALBA </v>
      </c>
      <c r="I465" t="str">
        <v>ACEPTADO</v>
      </c>
      <c r="J465" t="str">
        <v>PARANÁ</v>
      </c>
      <c r="K465" t="str">
        <v>PAMI</v>
      </c>
      <c r="L465">
        <v>0</v>
      </c>
    </row>
    <row r="466" spans="2:12" x14ac:dyDescent="0.25">
      <c r="B466">
        <v>45406</v>
      </c>
      <c r="C466" t="str">
        <v>FERNANDEZ MANUELA</v>
      </c>
      <c r="D466">
        <v>79</v>
      </c>
      <c r="E466" t="str">
        <v>MELI RIOS</v>
      </c>
      <c r="F466" t="str">
        <v>FX CADERA</v>
      </c>
      <c r="G466" t="str">
        <v>PTC THOMPSON</v>
      </c>
      <c r="H466" t="str">
        <v xml:space="preserve">VILLALBA </v>
      </c>
      <c r="I466" t="str">
        <v>ACEPTADO</v>
      </c>
      <c r="J466" t="str">
        <v>PARANÁ</v>
      </c>
      <c r="K466" t="str">
        <v>PAMI</v>
      </c>
      <c r="L466">
        <v>0</v>
      </c>
    </row>
    <row r="467" spans="2:12" x14ac:dyDescent="0.25">
      <c r="B467">
        <v>45406</v>
      </c>
      <c r="C467" t="str">
        <v>MARTINEZ OSCAR</v>
      </c>
      <c r="D467">
        <v>68</v>
      </c>
      <c r="E467" t="str">
        <v>MELI RIOS</v>
      </c>
      <c r="F467" t="str">
        <v>LUXOFRACTURA</v>
      </c>
      <c r="G467" t="str">
        <v>T CANULADOS PLACA 2. 4</v>
      </c>
      <c r="H467" t="str">
        <v xml:space="preserve">VILLALBA </v>
      </c>
      <c r="I467" t="str">
        <v>ACEPTADO</v>
      </c>
      <c r="J467" t="str">
        <v>PARANÁ</v>
      </c>
      <c r="K467" t="str">
        <v>PAMI</v>
      </c>
      <c r="L467">
        <v>0</v>
      </c>
    </row>
    <row r="468" spans="2:12" x14ac:dyDescent="0.25">
      <c r="B468">
        <v>45406</v>
      </c>
      <c r="C468" t="str">
        <v>MONTENEGRO TERESA</v>
      </c>
      <c r="D468">
        <v>74</v>
      </c>
      <c r="E468" t="str">
        <v>VENTURI</v>
      </c>
      <c r="F468" t="str">
        <v>ART RODILLA</v>
      </c>
      <c r="G468" t="str">
        <v xml:space="preserve">PTR </v>
      </c>
      <c r="H468" t="str">
        <v xml:space="preserve">VILLALBA </v>
      </c>
      <c r="I468" t="str">
        <v>ACEPTADO</v>
      </c>
      <c r="J468" t="str">
        <v>PARANÁ</v>
      </c>
      <c r="K468" t="str">
        <v>PAMI</v>
      </c>
      <c r="L468">
        <v>0</v>
      </c>
    </row>
    <row r="469" spans="2:12" x14ac:dyDescent="0.25">
      <c r="B469">
        <v>45406</v>
      </c>
      <c r="C469" t="str">
        <v>KLEIN MATILDE</v>
      </c>
      <c r="D469">
        <v>79</v>
      </c>
      <c r="E469" t="str">
        <v>MELI RIOS</v>
      </c>
      <c r="F469" t="str">
        <v>FX CADERA</v>
      </c>
      <c r="G469" t="str">
        <v>PTC THOMPSON</v>
      </c>
      <c r="H469" t="str">
        <v xml:space="preserve">VILLALBA </v>
      </c>
      <c r="I469" t="str">
        <v>ACEPTADO</v>
      </c>
      <c r="J469" t="str">
        <v>PARANÁ</v>
      </c>
      <c r="K469" t="str">
        <v>PAMI</v>
      </c>
      <c r="L469">
        <v>0</v>
      </c>
    </row>
    <row r="470" spans="2:12" x14ac:dyDescent="0.25">
      <c r="B470">
        <v>45406</v>
      </c>
      <c r="C470" t="str">
        <v>SALCEDO KEVIN</v>
      </c>
      <c r="D470">
        <v>30</v>
      </c>
      <c r="E470" t="str">
        <v>GARCIA VITOR</v>
      </c>
      <c r="F470" t="str">
        <v>LCA</v>
      </c>
      <c r="G470" t="str">
        <v>T INTERF PLUMA DE RADIO BOTON AUTOAJ</v>
      </c>
      <c r="H470">
        <v>0</v>
      </c>
      <c r="I470" t="str">
        <v>ACEPTADO</v>
      </c>
      <c r="J470" t="str">
        <v>VIALE</v>
      </c>
      <c r="K470" t="str">
        <v>S/M</v>
      </c>
      <c r="L470">
        <v>0</v>
      </c>
    </row>
    <row r="471" spans="2:12" x14ac:dyDescent="0.25">
      <c r="B471">
        <v>45407</v>
      </c>
      <c r="C471" t="str">
        <v>MARTINEZ MARIA</v>
      </c>
      <c r="D471">
        <v>54</v>
      </c>
      <c r="E471" t="str">
        <v>CASERES</v>
      </c>
      <c r="F471" t="str">
        <v>FX TOBILLO</v>
      </c>
      <c r="G471" t="str">
        <v>PLACA TERCIO TUBO</v>
      </c>
      <c r="H471" t="str">
        <v xml:space="preserve">VILLALBA </v>
      </c>
      <c r="I471" t="str">
        <v>ACEPTADO</v>
      </c>
      <c r="J471" t="str">
        <v>PARANÁ</v>
      </c>
      <c r="K471" t="str">
        <v>PAMI</v>
      </c>
      <c r="L471">
        <v>0</v>
      </c>
    </row>
    <row r="472" spans="2:12" x14ac:dyDescent="0.25">
      <c r="B472">
        <v>45408</v>
      </c>
      <c r="C472" t="str">
        <v>TABORDA ELSA</v>
      </c>
      <c r="D472">
        <v>75</v>
      </c>
      <c r="E472" t="str">
        <v>STOPELLO</v>
      </c>
      <c r="F472" t="str">
        <v>GONARTROSIS</v>
      </c>
      <c r="G472" t="str">
        <v>PTR</v>
      </c>
      <c r="H472" t="str">
        <v>VILLLBA</v>
      </c>
      <c r="I472" t="str">
        <v>ACEPTADO</v>
      </c>
      <c r="J472" t="str">
        <v>PARANÁ</v>
      </c>
      <c r="K472" t="str">
        <v>PAMI</v>
      </c>
      <c r="L472">
        <v>0</v>
      </c>
    </row>
    <row r="473" spans="2:12" x14ac:dyDescent="0.25">
      <c r="B473">
        <v>45408</v>
      </c>
      <c r="C473" t="str">
        <v>COLMAN ANIBAL</v>
      </c>
      <c r="D473">
        <v>55</v>
      </c>
      <c r="E473" t="str">
        <v>YACOMO</v>
      </c>
      <c r="F473" t="str">
        <v>GONARTROSIS</v>
      </c>
      <c r="G473" t="str">
        <v>PTC</v>
      </c>
      <c r="H473" t="str">
        <v xml:space="preserve">VILLALBA </v>
      </c>
      <c r="I473" t="str">
        <v>ACEPTADO</v>
      </c>
      <c r="J473" t="str">
        <v>PARANÁ</v>
      </c>
      <c r="K473" t="str">
        <v>PAMI</v>
      </c>
      <c r="L473">
        <v>0</v>
      </c>
    </row>
    <row r="474" spans="2:12" x14ac:dyDescent="0.25">
      <c r="B474">
        <v>45409</v>
      </c>
      <c r="C474" t="str">
        <v>OJEDA JOSUE</v>
      </c>
      <c r="D474">
        <v>21</v>
      </c>
      <c r="E474" t="str">
        <v>GARCIA VITOR</v>
      </c>
      <c r="F474" t="str">
        <v>LCA</v>
      </c>
      <c r="G474" t="str">
        <v>BOTON AUTOAJUSTABLE, TORNILLO PUNTA de radio frec inmobilizador</v>
      </c>
      <c r="H474">
        <v>0</v>
      </c>
      <c r="I474" t="str">
        <v>ACEPTADO</v>
      </c>
      <c r="J474" t="str">
        <v>PARANÁ</v>
      </c>
      <c r="K474" t="str">
        <v>S/M</v>
      </c>
      <c r="L474">
        <v>0</v>
      </c>
    </row>
    <row r="475" spans="2:12" x14ac:dyDescent="0.25">
      <c r="B475">
        <v>45414</v>
      </c>
      <c r="C475" t="str">
        <v>SALAZAR GENOVEVA</v>
      </c>
      <c r="D475">
        <v>88</v>
      </c>
      <c r="E475" t="str">
        <v>CASERES</v>
      </c>
      <c r="F475" t="str">
        <v>FX TOBILLO</v>
      </c>
      <c r="G475" t="str">
        <v xml:space="preserve">T CANULADOS 3,5 </v>
      </c>
      <c r="H475" t="str">
        <v xml:space="preserve">VILLALBA </v>
      </c>
      <c r="I475" t="str">
        <v>ACEPTADO</v>
      </c>
      <c r="J475" t="str">
        <v>PARANÁ</v>
      </c>
      <c r="K475" t="str">
        <v>PAMI</v>
      </c>
      <c r="L475">
        <v>0</v>
      </c>
    </row>
    <row r="476" spans="2:12" x14ac:dyDescent="0.25">
      <c r="B476">
        <v>45414</v>
      </c>
      <c r="C476" t="str">
        <v>BREGANT ESTELA</v>
      </c>
      <c r="D476">
        <v>71</v>
      </c>
      <c r="E476" t="str">
        <v>CASERES</v>
      </c>
      <c r="F476" t="str">
        <v>FX MUÑECA</v>
      </c>
      <c r="G476" t="str">
        <v xml:space="preserve">PLACA VOLAR </v>
      </c>
      <c r="H476" t="str">
        <v xml:space="preserve">VILLALBA </v>
      </c>
      <c r="I476" t="str">
        <v>ACEPTADO</v>
      </c>
      <c r="J476" t="str">
        <v>PARANÁ</v>
      </c>
      <c r="K476" t="str">
        <v>PAMI</v>
      </c>
      <c r="L476">
        <v>0</v>
      </c>
    </row>
    <row r="477" spans="2:12" x14ac:dyDescent="0.25">
      <c r="B477">
        <v>45415</v>
      </c>
      <c r="C477" t="str">
        <v>PERINA GRACIELA</v>
      </c>
      <c r="D477">
        <v>56</v>
      </c>
      <c r="E477" t="str">
        <v>YACOMO</v>
      </c>
      <c r="F477" t="str">
        <v>GONARTROSIS</v>
      </c>
      <c r="G477" t="str">
        <v>PTR DERECHA</v>
      </c>
      <c r="H477">
        <v>0</v>
      </c>
      <c r="I477" t="str">
        <v>ACEPTADO</v>
      </c>
      <c r="J477" t="str">
        <v>PARANÁ</v>
      </c>
      <c r="K477" t="str">
        <v>S/M</v>
      </c>
      <c r="L477">
        <v>0</v>
      </c>
    </row>
    <row r="478" spans="2:12" x14ac:dyDescent="0.25">
      <c r="B478">
        <v>45418</v>
      </c>
      <c r="C478" t="str">
        <v>DIAZ ESTELA</v>
      </c>
      <c r="D478">
        <v>76</v>
      </c>
      <c r="E478" t="str">
        <v>CASERES</v>
      </c>
      <c r="F478" t="str">
        <v>FX CADERA</v>
      </c>
      <c r="G478" t="str">
        <v>CLAVO GAMMA</v>
      </c>
      <c r="H478" t="str">
        <v>VILLALBA</v>
      </c>
      <c r="I478" t="str">
        <v>ACEPTADO</v>
      </c>
      <c r="J478" t="str">
        <v>PARANÁ</v>
      </c>
      <c r="K478" t="str">
        <v>PAMI</v>
      </c>
      <c r="L478">
        <v>0</v>
      </c>
    </row>
    <row r="479" spans="2:12" x14ac:dyDescent="0.25">
      <c r="B479">
        <v>45418</v>
      </c>
      <c r="C479" t="str">
        <v>FLORES BLANCA</v>
      </c>
      <c r="D479">
        <v>80</v>
      </c>
      <c r="E479" t="str">
        <v>CASERES</v>
      </c>
      <c r="F479" t="str">
        <v>FX CADERA</v>
      </c>
      <c r="G479" t="str">
        <v>PTC THOMPSON</v>
      </c>
      <c r="H479" t="str">
        <v>VILLALBA</v>
      </c>
      <c r="I479" t="str">
        <v>ACEPTADO</v>
      </c>
      <c r="J479" t="str">
        <v>PARANÁ</v>
      </c>
      <c r="K479" t="str">
        <v>PAMI</v>
      </c>
      <c r="L479">
        <v>0</v>
      </c>
    </row>
    <row r="480" spans="2:12" x14ac:dyDescent="0.25">
      <c r="B480">
        <v>45418</v>
      </c>
      <c r="C480" t="str">
        <v>MODENUTTI DEOLINDA</v>
      </c>
      <c r="D480">
        <v>87</v>
      </c>
      <c r="E480" t="str">
        <v>CASERES</v>
      </c>
      <c r="F480" t="str">
        <v>FX CADERA</v>
      </c>
      <c r="G480" t="str">
        <v>CLAVO GAMMA</v>
      </c>
      <c r="H480" t="str">
        <v>VILLALBA</v>
      </c>
      <c r="I480" t="str">
        <v>ACEPTADO</v>
      </c>
      <c r="J480" t="str">
        <v>PARANÁ</v>
      </c>
      <c r="K480" t="str">
        <v>PAMI</v>
      </c>
      <c r="L480">
        <v>0</v>
      </c>
    </row>
    <row r="481" spans="2:12" x14ac:dyDescent="0.25">
      <c r="B481">
        <v>45419</v>
      </c>
      <c r="C481" t="str">
        <v>PARRA MARIA</v>
      </c>
      <c r="D481">
        <v>63</v>
      </c>
      <c r="E481" t="str">
        <v>VENTURI</v>
      </c>
      <c r="F481" t="str">
        <v>HALLUX VALGUS</v>
      </c>
      <c r="G481" t="str">
        <v>PLACAS Y TORN PLAC HER</v>
      </c>
      <c r="H481" t="str">
        <v>VILLALBA</v>
      </c>
      <c r="I481" t="str">
        <v>ACEPTADO</v>
      </c>
      <c r="J481" t="str">
        <v>PARANÁ</v>
      </c>
      <c r="K481" t="str">
        <v>PAMI</v>
      </c>
      <c r="L481">
        <v>0</v>
      </c>
    </row>
    <row r="482" spans="2:12" x14ac:dyDescent="0.25">
      <c r="B482">
        <v>45419</v>
      </c>
      <c r="C482" t="str">
        <v>LELL ANITA</v>
      </c>
      <c r="D482">
        <v>72</v>
      </c>
      <c r="E482" t="str">
        <v>CATRIEL GODOY</v>
      </c>
      <c r="F482" t="str">
        <v>FX HUMERO</v>
      </c>
      <c r="G482" t="str">
        <v>PROTESIS DE  HOMBRO</v>
      </c>
      <c r="H482" t="str">
        <v>VILLALBA</v>
      </c>
      <c r="I482" t="str">
        <v>ACEPTADO</v>
      </c>
      <c r="J482" t="str">
        <v>PARANÁ</v>
      </c>
      <c r="K482" t="str">
        <v>PAMI</v>
      </c>
      <c r="L482">
        <v>0</v>
      </c>
    </row>
    <row r="483" spans="2:12" x14ac:dyDescent="0.25">
      <c r="B483">
        <v>45419</v>
      </c>
      <c r="C483" t="str">
        <v>GUZZONATO GERARDO</v>
      </c>
      <c r="D483">
        <v>0</v>
      </c>
      <c r="E483" t="str">
        <v xml:space="preserve">HERMIDA </v>
      </c>
      <c r="F483">
        <v>0</v>
      </c>
      <c r="G483" t="str">
        <v>ESPACIADOR</v>
      </c>
      <c r="H483" t="str">
        <v>VILLALBA</v>
      </c>
      <c r="I483" t="str">
        <v>ACEPTADO</v>
      </c>
      <c r="J483" t="str">
        <v>NOGOYA</v>
      </c>
      <c r="K483" t="str">
        <v>PAMI</v>
      </c>
      <c r="L483">
        <v>0</v>
      </c>
    </row>
    <row r="484" spans="2:12" x14ac:dyDescent="0.25">
      <c r="B484">
        <v>45421</v>
      </c>
      <c r="C484" t="str">
        <v>LOVERA ERSILIA</v>
      </c>
      <c r="D484">
        <v>89</v>
      </c>
      <c r="E484" t="str">
        <v>GARCIA VITOR</v>
      </c>
      <c r="F484" t="str">
        <v>GENUVARO ART</v>
      </c>
      <c r="G484" t="str">
        <v>PTR BISAGRA ROTATORIA</v>
      </c>
      <c r="H484" t="str">
        <v>VILLALBA</v>
      </c>
      <c r="I484" t="str">
        <v>ACEPTADO</v>
      </c>
      <c r="J484" t="str">
        <v>PARANÁ</v>
      </c>
      <c r="K484" t="str">
        <v>PAMI</v>
      </c>
      <c r="L484">
        <v>0</v>
      </c>
    </row>
    <row r="485" spans="2:12" x14ac:dyDescent="0.25">
      <c r="B485">
        <v>45421</v>
      </c>
      <c r="C485" t="str">
        <v>OTTO  HECTOR</v>
      </c>
      <c r="D485">
        <v>56</v>
      </c>
      <c r="E485" t="str">
        <v>STOPELLO</v>
      </c>
      <c r="F485" t="str">
        <v>GONARTROSIS</v>
      </c>
      <c r="G485" t="str">
        <v>PTR</v>
      </c>
      <c r="H485">
        <v>0</v>
      </c>
      <c r="I485" t="str">
        <v>ACEPTADO</v>
      </c>
      <c r="J485" t="str">
        <v>PARANÁ</v>
      </c>
      <c r="K485" t="str">
        <v>S/M</v>
      </c>
      <c r="L485">
        <v>0</v>
      </c>
    </row>
    <row r="486" spans="2:12" x14ac:dyDescent="0.25">
      <c r="B486">
        <v>45421</v>
      </c>
      <c r="C486" t="str">
        <v>SANABRIA MATIAS</v>
      </c>
      <c r="D486">
        <v>33</v>
      </c>
      <c r="E486" t="str">
        <v>VENTURI</v>
      </c>
      <c r="F486" t="str">
        <v>INESTABILIDAD DE H</v>
      </c>
      <c r="G486" t="str">
        <v xml:space="preserve"> TORNILLOS CANULADOS </v>
      </c>
      <c r="H486">
        <v>0</v>
      </c>
      <c r="I486" t="str">
        <v>ACEPTADO</v>
      </c>
      <c r="J486" t="str">
        <v>PARANÁ</v>
      </c>
      <c r="K486" t="str">
        <v>S/M</v>
      </c>
      <c r="L486">
        <v>0</v>
      </c>
    </row>
    <row r="487" spans="2:12" x14ac:dyDescent="0.25">
      <c r="B487">
        <v>45421</v>
      </c>
      <c r="C487" t="str">
        <v>SANABRIA MATIAS</v>
      </c>
      <c r="D487">
        <v>33</v>
      </c>
      <c r="E487" t="str">
        <v>VENTURI</v>
      </c>
      <c r="F487" t="str">
        <v>INESTABILIDAD DE H</v>
      </c>
      <c r="G487" t="str">
        <v xml:space="preserve"> ARPONES</v>
      </c>
      <c r="H487">
        <v>0</v>
      </c>
      <c r="I487" t="str">
        <v>ACEPTADO</v>
      </c>
      <c r="J487" t="str">
        <v>PARANÁ</v>
      </c>
      <c r="K487" t="str">
        <v>S/M</v>
      </c>
      <c r="L487">
        <v>0</v>
      </c>
    </row>
    <row r="488" spans="2:12" x14ac:dyDescent="0.25">
      <c r="B488">
        <v>45427</v>
      </c>
      <c r="C488" t="str">
        <v>LUCEY  WALTER</v>
      </c>
      <c r="D488">
        <v>49</v>
      </c>
      <c r="E488" t="str">
        <v>CASERES</v>
      </c>
      <c r="F488" t="str">
        <v>FX CADERA</v>
      </c>
      <c r="G488" t="str">
        <v>CLAVO GAMMA</v>
      </c>
      <c r="H488" t="str">
        <v>VILLALBA</v>
      </c>
      <c r="I488" t="str">
        <v>ACEPTADO</v>
      </c>
      <c r="J488" t="str">
        <v>PARANÁ</v>
      </c>
      <c r="K488" t="str">
        <v>PAMI</v>
      </c>
      <c r="L488">
        <v>0</v>
      </c>
    </row>
    <row r="489" spans="2:12" x14ac:dyDescent="0.25">
      <c r="B489">
        <v>45429</v>
      </c>
      <c r="C489" t="str">
        <v>MODENUTTI CELSO</v>
      </c>
      <c r="D489">
        <v>79</v>
      </c>
      <c r="E489" t="str">
        <v>STOPELLO</v>
      </c>
      <c r="F489" t="str">
        <v>GONARTROSIS</v>
      </c>
      <c r="G489" t="str">
        <v xml:space="preserve">PTR </v>
      </c>
      <c r="H489" t="str">
        <v>VILLALBA</v>
      </c>
      <c r="I489" t="str">
        <v>ACEPTADO</v>
      </c>
      <c r="J489" t="str">
        <v>PARANÁ</v>
      </c>
      <c r="K489" t="str">
        <v>PAMI</v>
      </c>
      <c r="L489">
        <v>0</v>
      </c>
    </row>
    <row r="490" spans="2:12" x14ac:dyDescent="0.25">
      <c r="B490">
        <v>45429</v>
      </c>
      <c r="C490" t="str">
        <v>FLORES JOSE</v>
      </c>
      <c r="D490">
        <v>67</v>
      </c>
      <c r="E490" t="str">
        <v>YACOMO</v>
      </c>
      <c r="F490" t="str">
        <v>GONARTROSIS</v>
      </c>
      <c r="G490" t="str">
        <v>PTR</v>
      </c>
      <c r="H490" t="str">
        <v>VILLALBA</v>
      </c>
      <c r="I490" t="str">
        <v>ACEPTADO</v>
      </c>
      <c r="J490" t="str">
        <v>PARANÁ</v>
      </c>
      <c r="K490" t="str">
        <v>PAMI</v>
      </c>
      <c r="L490">
        <v>0</v>
      </c>
    </row>
    <row r="491" spans="2:12" x14ac:dyDescent="0.25">
      <c r="B491">
        <v>45429</v>
      </c>
      <c r="C491" t="str">
        <v>NUÑEZ ROSALINDA</v>
      </c>
      <c r="D491">
        <v>74</v>
      </c>
      <c r="E491" t="str">
        <v>SUKSDORF</v>
      </c>
      <c r="F491" t="str">
        <v>FX TOBILLO</v>
      </c>
      <c r="G491" t="str">
        <v>TORNILLOS MODULARES</v>
      </c>
      <c r="H491" t="str">
        <v>VILLALBA</v>
      </c>
      <c r="I491" t="str">
        <v>ACEPTADO</v>
      </c>
      <c r="J491" t="str">
        <v>PARANÁ</v>
      </c>
      <c r="K491" t="str">
        <v>PAMI</v>
      </c>
      <c r="L491">
        <v>0</v>
      </c>
    </row>
    <row r="492" spans="2:12" x14ac:dyDescent="0.25">
      <c r="B492">
        <v>45433</v>
      </c>
      <c r="C492" t="str">
        <v>GAREIS MIGUEL</v>
      </c>
      <c r="D492">
        <v>72</v>
      </c>
      <c r="E492" t="str">
        <v>CESAR MEYNET</v>
      </c>
      <c r="F492" t="str">
        <v>GENUVALGO</v>
      </c>
      <c r="G492" t="str">
        <v>PTR</v>
      </c>
      <c r="H492" t="str">
        <v>VILLALBA</v>
      </c>
      <c r="I492" t="str">
        <v>ACEPTADO</v>
      </c>
      <c r="J492" t="str">
        <v>PARANÁ</v>
      </c>
      <c r="K492" t="str">
        <v>PAMI</v>
      </c>
      <c r="L492">
        <v>0</v>
      </c>
    </row>
    <row r="493" spans="2:12" x14ac:dyDescent="0.25">
      <c r="B493">
        <v>45433</v>
      </c>
      <c r="C493" t="str">
        <v>COMAR NELSON</v>
      </c>
      <c r="D493">
        <v>89</v>
      </c>
      <c r="E493" t="str">
        <v>COLLOMB</v>
      </c>
      <c r="F493" t="str">
        <v>FX CADERA</v>
      </c>
      <c r="G493" t="str">
        <v>CLAVO GAMMA</v>
      </c>
      <c r="H493">
        <v>0</v>
      </c>
      <c r="I493" t="str">
        <v>ACEPTADO</v>
      </c>
      <c r="J493" t="str">
        <v>PARANÁ</v>
      </c>
      <c r="K493" t="str">
        <v>PAMI</v>
      </c>
      <c r="L493">
        <v>0</v>
      </c>
    </row>
    <row r="494" spans="2:12" x14ac:dyDescent="0.25">
      <c r="B494">
        <v>45433</v>
      </c>
      <c r="C494" t="str">
        <v>GAREIS TERESA</v>
      </c>
      <c r="D494">
        <v>75</v>
      </c>
      <c r="E494" t="str">
        <v>SUKSDORF</v>
      </c>
      <c r="F494" t="str">
        <v>GONARTROSIS</v>
      </c>
      <c r="G494" t="str">
        <v>PTR PRIMARIA ANDROMICA</v>
      </c>
      <c r="H494" t="str">
        <v>VILLALBA</v>
      </c>
      <c r="I494" t="str">
        <v>ACEPTADO</v>
      </c>
      <c r="J494" t="str">
        <v>DIAMANTE</v>
      </c>
      <c r="K494" t="str">
        <v>PAMI</v>
      </c>
      <c r="L494">
        <v>0</v>
      </c>
    </row>
    <row r="495" spans="2:12" x14ac:dyDescent="0.25">
      <c r="B495">
        <v>45434</v>
      </c>
      <c r="C495" t="str">
        <v>FRANCO ALICIA</v>
      </c>
      <c r="D495">
        <v>96</v>
      </c>
      <c r="E495" t="str">
        <v>CASERES</v>
      </c>
      <c r="F495" t="str">
        <v>FX CADERA</v>
      </c>
      <c r="G495" t="str">
        <v>CLAVO GAMMA</v>
      </c>
      <c r="H495" t="str">
        <v>VILLALBA</v>
      </c>
      <c r="I495" t="str">
        <v>ACEPTADO</v>
      </c>
      <c r="J495" t="str">
        <v>PARANÁ</v>
      </c>
      <c r="K495" t="str">
        <v>PAMI</v>
      </c>
      <c r="L495">
        <v>0</v>
      </c>
    </row>
    <row r="496" spans="2:12" x14ac:dyDescent="0.25">
      <c r="B496">
        <v>45434</v>
      </c>
      <c r="C496" t="str">
        <v>ROCCOSALVO NOEMI</v>
      </c>
      <c r="D496">
        <v>83</v>
      </c>
      <c r="E496" t="str">
        <v>CASERES</v>
      </c>
      <c r="F496" t="str">
        <v>FX CADERA</v>
      </c>
      <c r="G496" t="str">
        <v>CLAVO GAMMA</v>
      </c>
      <c r="H496">
        <v>0</v>
      </c>
      <c r="I496" t="str">
        <v>ACEPTADO</v>
      </c>
      <c r="J496" t="str">
        <v>PARANÁ</v>
      </c>
      <c r="K496" t="str">
        <v>PAMI</v>
      </c>
      <c r="L496">
        <v>0</v>
      </c>
    </row>
    <row r="497" spans="2:12" x14ac:dyDescent="0.25">
      <c r="B497">
        <v>45434</v>
      </c>
      <c r="C497" t="str">
        <v>CAPURRO HILDA</v>
      </c>
      <c r="D497">
        <v>68</v>
      </c>
      <c r="E497" t="str">
        <v>JACOB</v>
      </c>
      <c r="F497" t="str">
        <v>ESPONDIOLISTESIS</v>
      </c>
      <c r="G497" t="str">
        <v xml:space="preserve">  SIST DE FIJACION LUMBAR</v>
      </c>
      <c r="H497">
        <v>0</v>
      </c>
      <c r="I497" t="str">
        <v>ACEPTADO</v>
      </c>
      <c r="J497" t="str">
        <v>PARANÁ</v>
      </c>
      <c r="K497" t="str">
        <v>PAMI</v>
      </c>
      <c r="L497">
        <v>0</v>
      </c>
    </row>
    <row r="498" spans="2:12" x14ac:dyDescent="0.25">
      <c r="B498">
        <v>45434</v>
      </c>
      <c r="C498" t="str">
        <v>CASTRO ANA</v>
      </c>
      <c r="D498">
        <v>88</v>
      </c>
      <c r="E498" t="str">
        <v>CASERES</v>
      </c>
      <c r="F498" t="str">
        <v>FX CADERA</v>
      </c>
      <c r="G498" t="str">
        <v>CLAVO GAMMA</v>
      </c>
      <c r="H498">
        <v>0</v>
      </c>
      <c r="I498" t="str">
        <v>ACEPTADO</v>
      </c>
      <c r="J498" t="str">
        <v>PARANÁ</v>
      </c>
      <c r="K498" t="str">
        <v>PAMI</v>
      </c>
      <c r="L498">
        <v>0</v>
      </c>
    </row>
    <row r="499" spans="2:12" x14ac:dyDescent="0.25">
      <c r="B499">
        <v>45436</v>
      </c>
      <c r="C499" t="str">
        <v>AGUIAR ELDA</v>
      </c>
      <c r="D499">
        <v>84</v>
      </c>
      <c r="E499" t="str">
        <v>CASERES</v>
      </c>
      <c r="F499" t="str">
        <v>FX DE CADERA</v>
      </c>
      <c r="G499" t="str">
        <v>P PARCIAL DE CAD BIPOLAR</v>
      </c>
      <c r="H499">
        <v>0</v>
      </c>
      <c r="I499" t="str">
        <v>ACEPTADO</v>
      </c>
      <c r="J499" t="str">
        <v>PARANÁ</v>
      </c>
      <c r="K499" t="str">
        <v>PAMI</v>
      </c>
      <c r="L499">
        <v>0</v>
      </c>
    </row>
    <row r="500" spans="2:12" x14ac:dyDescent="0.25">
      <c r="B500">
        <v>45437</v>
      </c>
      <c r="C500" t="str">
        <v>RAMIREZ SUSANA</v>
      </c>
      <c r="D500">
        <v>57</v>
      </c>
      <c r="E500" t="str">
        <v>JACOB</v>
      </c>
      <c r="F500" t="str">
        <v>ESTENOSIS</v>
      </c>
      <c r="G500" t="str">
        <v>4 TORNILLOSPEDICULARES 1 CAGE 2 BARRAS 1 DOSIS DE SUSTITUTO</v>
      </c>
      <c r="H500">
        <v>0</v>
      </c>
      <c r="I500" t="str">
        <v>ACEPTADO</v>
      </c>
      <c r="J500" t="str">
        <v>COLONIA AVE</v>
      </c>
      <c r="K500" t="str">
        <v>S/M</v>
      </c>
      <c r="L500">
        <v>0</v>
      </c>
    </row>
    <row r="501" spans="2:12" x14ac:dyDescent="0.25">
      <c r="B501">
        <v>45443</v>
      </c>
      <c r="C501" t="str">
        <v>ANTUNES MIRTHA</v>
      </c>
      <c r="D501">
        <v>68</v>
      </c>
      <c r="E501" t="str">
        <v>THEAUX</v>
      </c>
      <c r="F501" t="str">
        <v>HALLUX VALGUS</v>
      </c>
      <c r="G501" t="str">
        <v>PLACAS Y TORNILLOS 2 T HERBERT 2 CLAVIJA</v>
      </c>
      <c r="H501">
        <v>0</v>
      </c>
      <c r="I501" t="str">
        <v>ACEPTADO</v>
      </c>
      <c r="J501" t="str">
        <v>PARANÁ</v>
      </c>
      <c r="K501" t="str">
        <v>PAMI</v>
      </c>
      <c r="L501">
        <v>0</v>
      </c>
    </row>
    <row r="502" spans="2:12" x14ac:dyDescent="0.25">
      <c r="B502">
        <v>45443</v>
      </c>
      <c r="C502" t="str">
        <v>VAZQUEZ MIGUEL</v>
      </c>
      <c r="D502">
        <v>61</v>
      </c>
      <c r="E502" t="str">
        <v>STOPELLO</v>
      </c>
      <c r="F502" t="str">
        <v>GONARTROSIS</v>
      </c>
      <c r="G502" t="str">
        <v>PTR DERECHA</v>
      </c>
      <c r="H502" t="str">
        <v>VILLALBA</v>
      </c>
      <c r="I502" t="str">
        <v>ACEPTADO</v>
      </c>
      <c r="J502" t="str">
        <v>PARANÁ</v>
      </c>
      <c r="K502" t="str">
        <v>PAMI</v>
      </c>
      <c r="L502">
        <v>0</v>
      </c>
    </row>
    <row r="503" spans="2:12" x14ac:dyDescent="0.25">
      <c r="B503">
        <v>45443</v>
      </c>
      <c r="C503" t="str">
        <v>SEINECKER MIRTA</v>
      </c>
      <c r="D503">
        <v>74</v>
      </c>
      <c r="E503" t="str">
        <v>GARCIA VITOR</v>
      </c>
      <c r="F503" t="str">
        <v>GENU VARU</v>
      </c>
      <c r="G503" t="str">
        <v>PTR</v>
      </c>
      <c r="H503">
        <v>0</v>
      </c>
      <c r="I503" t="str">
        <v>ACEPTADO</v>
      </c>
      <c r="J503" t="str">
        <v>PARANÁ</v>
      </c>
      <c r="K503" t="str">
        <v>PAMI</v>
      </c>
      <c r="L503">
        <v>0</v>
      </c>
    </row>
    <row r="504" spans="2:12" x14ac:dyDescent="0.25">
      <c r="B504">
        <v>45443</v>
      </c>
      <c r="C504" t="str">
        <v>FARIAS CANDIDO</v>
      </c>
      <c r="D504">
        <v>68</v>
      </c>
      <c r="E504" t="str">
        <v>CATRIEL GODOY</v>
      </c>
      <c r="F504" t="str">
        <v>SIND MANG ROT</v>
      </c>
      <c r="G504" t="str">
        <v>2 ARPONES 2,5</v>
      </c>
      <c r="H504" t="str">
        <v>VILLALBA</v>
      </c>
      <c r="I504" t="str">
        <v>ACEPTADO</v>
      </c>
      <c r="J504" t="str">
        <v>PARANÁ</v>
      </c>
      <c r="K504" t="str">
        <v>PAMI</v>
      </c>
      <c r="L504">
        <v>0</v>
      </c>
    </row>
    <row r="505" spans="2:12" x14ac:dyDescent="0.25">
      <c r="B505">
        <v>45443</v>
      </c>
      <c r="C505" t="str">
        <v>GONZALEZ ELISA</v>
      </c>
      <c r="D505">
        <v>68</v>
      </c>
      <c r="E505" t="str">
        <v>SUKSDORF</v>
      </c>
      <c r="F505" t="str">
        <v>FX CADERA</v>
      </c>
      <c r="G505" t="str">
        <v>PTC BIPOLAR- PTC CEMENTADA</v>
      </c>
      <c r="H505">
        <v>0</v>
      </c>
      <c r="I505" t="str">
        <v>ACEPTADO</v>
      </c>
      <c r="J505" t="str">
        <v>PARANÁ</v>
      </c>
      <c r="K505" t="str">
        <v>PAMI</v>
      </c>
      <c r="L505">
        <v>0</v>
      </c>
    </row>
    <row r="506" spans="2:12" x14ac:dyDescent="0.25">
      <c r="B506">
        <v>45443</v>
      </c>
      <c r="C506" t="str">
        <v>BRONDANI NELIDA</v>
      </c>
      <c r="D506">
        <v>77</v>
      </c>
      <c r="E506" t="str">
        <v>STOPELLO</v>
      </c>
      <c r="F506" t="str">
        <v>COXARTROSIS</v>
      </c>
      <c r="G506" t="str">
        <v>PTC PRIMARIA DERECHA</v>
      </c>
      <c r="H506" t="str">
        <v>VILLALBA</v>
      </c>
      <c r="I506" t="str">
        <v>ACEPTADO</v>
      </c>
      <c r="J506" t="str">
        <v>PARANÁ</v>
      </c>
      <c r="K506" t="str">
        <v>PAMI</v>
      </c>
      <c r="L506">
        <v>0</v>
      </c>
    </row>
    <row r="507" spans="2:12" x14ac:dyDescent="0.25">
      <c r="B507">
        <v>45443</v>
      </c>
      <c r="C507" t="str">
        <v>PRINCICH ELADIA</v>
      </c>
      <c r="D507">
        <v>76</v>
      </c>
      <c r="E507" t="str">
        <v>CASERES</v>
      </c>
      <c r="F507" t="str">
        <v>FX CADERA D</v>
      </c>
      <c r="G507" t="str">
        <v xml:space="preserve">PTC COTILO DOBLE M    </v>
      </c>
      <c r="H507">
        <v>0</v>
      </c>
      <c r="I507" t="str">
        <v>ACEPTADO</v>
      </c>
      <c r="J507" t="str">
        <v>PARANÁ</v>
      </c>
      <c r="K507" t="str">
        <v>PAMI</v>
      </c>
      <c r="L507">
        <v>0</v>
      </c>
    </row>
    <row r="508" spans="2:12" x14ac:dyDescent="0.25">
      <c r="B508">
        <v>45446</v>
      </c>
      <c r="C508" t="str">
        <v>RUIZ DIAZ DIONISIO</v>
      </c>
      <c r="D508">
        <v>66</v>
      </c>
      <c r="E508" t="str">
        <v>GARCIA VITOR</v>
      </c>
      <c r="F508">
        <v>0</v>
      </c>
      <c r="G508" t="str">
        <v>PTR CON CUÑAS Y V DE REV</v>
      </c>
      <c r="H508">
        <v>0</v>
      </c>
      <c r="I508" t="str">
        <v>ACEPTADO</v>
      </c>
      <c r="J508" t="str">
        <v>SAN SALVADOR</v>
      </c>
      <c r="K508" t="str">
        <v>PAMI</v>
      </c>
      <c r="L508">
        <v>0</v>
      </c>
    </row>
    <row r="509" spans="2:12" x14ac:dyDescent="0.25">
      <c r="B509">
        <v>45446</v>
      </c>
      <c r="C509" t="str">
        <v xml:space="preserve">FLORES PEDRO </v>
      </c>
      <c r="D509">
        <v>66</v>
      </c>
      <c r="E509" t="str">
        <v>GARCIA VITOR</v>
      </c>
      <c r="F509" t="str">
        <v>ART RODILLA IZQ</v>
      </c>
      <c r="G509" t="str">
        <v>PTR IZQUIERDA</v>
      </c>
      <c r="H509">
        <v>0</v>
      </c>
      <c r="I509" t="str">
        <v>ACEPTADO</v>
      </c>
      <c r="J509" t="str">
        <v>VICTORIA</v>
      </c>
      <c r="K509" t="str">
        <v>PAMI</v>
      </c>
      <c r="L509">
        <v>0</v>
      </c>
    </row>
    <row r="510" spans="2:12" x14ac:dyDescent="0.25">
      <c r="B510">
        <v>45446</v>
      </c>
      <c r="C510" t="str">
        <v xml:space="preserve">BELCH MARIA </v>
      </c>
      <c r="D510">
        <v>72</v>
      </c>
      <c r="E510" t="str">
        <v>GARCIA VITOR</v>
      </c>
      <c r="F510" t="str">
        <v>COXARTROSIS</v>
      </c>
      <c r="G510" t="str">
        <v>PTC DOBLE MOVILIDAD</v>
      </c>
      <c r="H510">
        <v>0</v>
      </c>
      <c r="I510" t="str">
        <v>ACEPTADO</v>
      </c>
      <c r="J510" t="str">
        <v xml:space="preserve">MARIA GRANDE </v>
      </c>
      <c r="K510" t="str">
        <v>PAMI</v>
      </c>
      <c r="L510">
        <v>0</v>
      </c>
    </row>
    <row r="511" spans="2:12" x14ac:dyDescent="0.25">
      <c r="B511">
        <v>45448</v>
      </c>
      <c r="C511" t="str">
        <v>FERREYRA BRIGIDA</v>
      </c>
      <c r="D511">
        <v>77</v>
      </c>
      <c r="E511" t="str">
        <v xml:space="preserve">URANGA </v>
      </c>
      <c r="F511" t="str">
        <v>ESPONDIOLISTESIS</v>
      </c>
      <c r="G511" t="str">
        <v>SIST DE FIJACION LUMBO S</v>
      </c>
      <c r="H511">
        <v>0</v>
      </c>
      <c r="I511" t="str">
        <v>ACEPTADO</v>
      </c>
      <c r="J511" t="str">
        <v>PARANÁ</v>
      </c>
      <c r="K511" t="str">
        <v>PAMI</v>
      </c>
      <c r="L511">
        <v>0</v>
      </c>
    </row>
    <row r="512" spans="2:12" x14ac:dyDescent="0.25">
      <c r="B512">
        <v>45450</v>
      </c>
      <c r="C512" t="str">
        <v>URRUTIA LUIS</v>
      </c>
      <c r="D512">
        <v>64</v>
      </c>
      <c r="E512" t="str">
        <v>CESAR MEYNET</v>
      </c>
      <c r="F512" t="str">
        <v>COXARTROSIS</v>
      </c>
      <c r="G512" t="str">
        <v>PTCCOTILO MULTIPERFOR</v>
      </c>
      <c r="H512">
        <v>0</v>
      </c>
      <c r="I512" t="str">
        <v>ACEPTADO</v>
      </c>
      <c r="J512" t="str">
        <v xml:space="preserve">HERNANDARIAS </v>
      </c>
      <c r="K512" t="str">
        <v>S/M</v>
      </c>
      <c r="L512">
        <v>0</v>
      </c>
    </row>
    <row r="513" spans="2:12" x14ac:dyDescent="0.25">
      <c r="B513">
        <v>45450</v>
      </c>
      <c r="C513" t="str">
        <v>SAUCEDO PETRONA</v>
      </c>
      <c r="D513">
        <v>68</v>
      </c>
      <c r="E513" t="str">
        <v>CESAR MEYNET</v>
      </c>
      <c r="F513" t="str">
        <v>COXARTROSIS</v>
      </c>
      <c r="G513" t="str">
        <v>ESPACIADOR</v>
      </c>
      <c r="H513" t="str">
        <v>VILLALBA</v>
      </c>
      <c r="I513" t="str">
        <v>ACEPTADO</v>
      </c>
      <c r="J513" t="str">
        <v>PARANÁ</v>
      </c>
      <c r="K513" t="str">
        <v>PAMI</v>
      </c>
      <c r="L513">
        <v>0</v>
      </c>
    </row>
    <row r="514" spans="2:12" x14ac:dyDescent="0.25">
      <c r="B514">
        <v>45450</v>
      </c>
      <c r="C514" t="str">
        <v>SOSA CLAUDIA</v>
      </c>
      <c r="D514">
        <v>69</v>
      </c>
      <c r="E514" t="str">
        <v>CESAR MEYNET</v>
      </c>
      <c r="F514" t="str">
        <v>GENUVARO</v>
      </c>
      <c r="G514" t="str">
        <v>PTR</v>
      </c>
      <c r="H514">
        <v>0</v>
      </c>
      <c r="I514" t="str">
        <v>ACEPTADO</v>
      </c>
      <c r="J514" t="str">
        <v>PARANÁ</v>
      </c>
      <c r="K514" t="str">
        <v>PAMI</v>
      </c>
      <c r="L514">
        <v>0</v>
      </c>
    </row>
    <row r="515" spans="2:12" x14ac:dyDescent="0.25">
      <c r="B515">
        <v>45450</v>
      </c>
      <c r="C515" t="str">
        <v>VELAZQUEZ RICARDO</v>
      </c>
      <c r="D515">
        <v>66</v>
      </c>
      <c r="E515" t="str">
        <v xml:space="preserve">URANGA </v>
      </c>
      <c r="F515" t="str">
        <v>FX DE CADERA</v>
      </c>
      <c r="G515" t="str">
        <v>PTC COTILO DOBLE M</v>
      </c>
      <c r="H515">
        <v>0</v>
      </c>
      <c r="I515" t="str">
        <v>ACEPTADO</v>
      </c>
      <c r="J515" t="str">
        <v>PARANÁ</v>
      </c>
      <c r="K515" t="str">
        <v>PAMI</v>
      </c>
      <c r="L515">
        <v>0</v>
      </c>
    </row>
    <row r="516" spans="2:12" x14ac:dyDescent="0.25">
      <c r="B516">
        <v>45453</v>
      </c>
      <c r="C516" t="str">
        <v xml:space="preserve">TORRES NICOLAS </v>
      </c>
      <c r="D516">
        <v>0</v>
      </c>
      <c r="E516" t="str">
        <v>GARCIA VITOR</v>
      </c>
      <c r="F516" t="str">
        <v>OSTEOATRITIS C</v>
      </c>
      <c r="G516" t="str">
        <v>PTC HIBRIDA</v>
      </c>
      <c r="H516">
        <v>0</v>
      </c>
      <c r="I516" t="str">
        <v>ACEPTADO</v>
      </c>
      <c r="J516" t="str">
        <v>SAN BENITO</v>
      </c>
      <c r="K516" t="str">
        <v>PAMI</v>
      </c>
      <c r="L516">
        <v>0</v>
      </c>
    </row>
    <row r="517" spans="2:12" x14ac:dyDescent="0.25">
      <c r="B517">
        <v>45453</v>
      </c>
      <c r="C517" t="str">
        <v>HEINZE MARIO</v>
      </c>
      <c r="D517">
        <v>75</v>
      </c>
      <c r="E517" t="str">
        <v>YACOMO</v>
      </c>
      <c r="F517" t="str">
        <v>GENUVARO</v>
      </c>
      <c r="G517" t="str">
        <v>PTR IZQUIERDA</v>
      </c>
      <c r="H517" t="str">
        <v>VILLALBA</v>
      </c>
      <c r="I517" t="str">
        <v>ACEPTADO</v>
      </c>
      <c r="J517" t="str">
        <v>VIALE</v>
      </c>
      <c r="K517" t="str">
        <v>PAMI</v>
      </c>
      <c r="L517">
        <v>0</v>
      </c>
    </row>
    <row r="518" spans="2:12" x14ac:dyDescent="0.25">
      <c r="B518">
        <v>45453</v>
      </c>
      <c r="C518" t="str">
        <v>PLEZ SILVIA</v>
      </c>
      <c r="D518">
        <v>72</v>
      </c>
      <c r="E518" t="str">
        <v>STOPELLO</v>
      </c>
      <c r="F518" t="str">
        <v>COXARTROSIS</v>
      </c>
      <c r="G518" t="str">
        <v>PTC CEMENTADA</v>
      </c>
      <c r="H518" t="str">
        <v>VILLALBA</v>
      </c>
      <c r="I518" t="str">
        <v>ACEPTADO</v>
      </c>
      <c r="J518" t="str">
        <v>SAN BENITO</v>
      </c>
      <c r="K518" t="str">
        <v>PAMI</v>
      </c>
      <c r="L518">
        <v>0</v>
      </c>
    </row>
    <row r="519" spans="2:12" x14ac:dyDescent="0.25">
      <c r="B519">
        <v>45453</v>
      </c>
      <c r="C519" t="str">
        <v>MANZANO EDUARDO</v>
      </c>
      <c r="D519">
        <v>68</v>
      </c>
      <c r="E519" t="str">
        <v>THEAUX</v>
      </c>
      <c r="F519" t="str">
        <v>FX DE T Y P</v>
      </c>
      <c r="G519" t="str">
        <v xml:space="preserve">PERNOS DE BLOQUEO </v>
      </c>
      <c r="H519">
        <v>0</v>
      </c>
      <c r="I519" t="str">
        <v>ACEPTADO</v>
      </c>
      <c r="J519" t="str">
        <v>PARANÁ</v>
      </c>
      <c r="K519" t="str">
        <v>PAMI</v>
      </c>
      <c r="L519">
        <v>0</v>
      </c>
    </row>
    <row r="520" spans="2:12" x14ac:dyDescent="0.25">
      <c r="B520">
        <v>45453</v>
      </c>
      <c r="C520" t="str">
        <v>PRESENTADO ISAIAS</v>
      </c>
      <c r="D520">
        <v>0</v>
      </c>
      <c r="E520" t="str">
        <v>VENTURI</v>
      </c>
      <c r="F520" t="str">
        <v>PSEUDOARTROSIS   DE RADIO</v>
      </c>
      <c r="G520" t="str">
        <v xml:space="preserve"> TORN CAN PLACA DCP CLAVIJA </v>
      </c>
      <c r="H520">
        <v>0</v>
      </c>
      <c r="I520" t="str">
        <v>ACEPTADO</v>
      </c>
      <c r="J520" t="str">
        <v>PARANÁ</v>
      </c>
      <c r="K520" t="str">
        <v>S/M</v>
      </c>
      <c r="L520">
        <v>0</v>
      </c>
    </row>
    <row r="521" spans="2:12" x14ac:dyDescent="0.25">
      <c r="B521">
        <v>45455</v>
      </c>
      <c r="C521" t="str">
        <v>GAREIS LUIS</v>
      </c>
      <c r="D521">
        <v>74</v>
      </c>
      <c r="E521" t="str">
        <v>GARCIA VITOR</v>
      </c>
      <c r="F521" t="str">
        <v>GENUVALGO</v>
      </c>
      <c r="G521" t="str">
        <v>PTR</v>
      </c>
      <c r="H521" t="str">
        <v>VILLALBA</v>
      </c>
      <c r="I521" t="str">
        <v>ACEPTADO</v>
      </c>
      <c r="J521" t="str">
        <v>PARANÁ</v>
      </c>
      <c r="K521" t="str">
        <v>PAMI</v>
      </c>
      <c r="L521">
        <v>0</v>
      </c>
    </row>
    <row r="522" spans="2:12" x14ac:dyDescent="0.25">
      <c r="B522">
        <v>45455</v>
      </c>
      <c r="C522" t="str">
        <v>ENRIQUEZ ELVA</v>
      </c>
      <c r="D522">
        <v>86</v>
      </c>
      <c r="E522" t="str">
        <v>COLLOMB</v>
      </c>
      <c r="F522" t="str">
        <v>FX CADERA</v>
      </c>
      <c r="G522" t="str">
        <v>PTC COTILO DOBLE M</v>
      </c>
      <c r="H522" t="str">
        <v>VILLALBA</v>
      </c>
      <c r="I522" t="str">
        <v>ACEPTADO</v>
      </c>
      <c r="J522" t="str">
        <v>PARANÁ</v>
      </c>
      <c r="K522" t="str">
        <v>PAMI</v>
      </c>
      <c r="L522">
        <v>0</v>
      </c>
    </row>
    <row r="523" spans="2:12" x14ac:dyDescent="0.25">
      <c r="B523">
        <v>45455</v>
      </c>
      <c r="C523" t="str">
        <v>FARIAS CARMEN</v>
      </c>
      <c r="D523">
        <v>66</v>
      </c>
      <c r="E523" t="str">
        <v>COLLOMB</v>
      </c>
      <c r="F523" t="str">
        <v>FX MUÑECA</v>
      </c>
      <c r="G523" t="str">
        <v>PLACA EDR DOBLE H DISTAL</v>
      </c>
      <c r="H523">
        <v>0</v>
      </c>
      <c r="I523" t="str">
        <v>ACEPTADO</v>
      </c>
      <c r="J523" t="str">
        <v>PARANÁ</v>
      </c>
      <c r="K523" t="str">
        <v>PAMI</v>
      </c>
      <c r="L523">
        <v>0</v>
      </c>
    </row>
    <row r="524" spans="2:12" x14ac:dyDescent="0.25">
      <c r="B524">
        <v>45455</v>
      </c>
      <c r="C524" t="str">
        <v>RIOS MATIAS</v>
      </c>
      <c r="D524">
        <v>24</v>
      </c>
      <c r="E524" t="str">
        <v>CASERES</v>
      </c>
      <c r="F524" t="str">
        <v>AMPUTACION INFRA</v>
      </c>
      <c r="G524" t="str">
        <v xml:space="preserve">PILON PROTESIS MI </v>
      </c>
      <c r="H524">
        <v>0</v>
      </c>
      <c r="I524" t="str">
        <v>ACEPTADO</v>
      </c>
      <c r="J524" t="str">
        <v>BOVRIL</v>
      </c>
      <c r="K524" t="str">
        <v>S/M</v>
      </c>
      <c r="L524">
        <v>0</v>
      </c>
    </row>
    <row r="525" spans="2:12" x14ac:dyDescent="0.25">
      <c r="B525">
        <v>45456</v>
      </c>
      <c r="C525" t="str">
        <v>PESOA STELLA MARIS</v>
      </c>
      <c r="D525">
        <v>61</v>
      </c>
      <c r="E525" t="str">
        <v>CASERES</v>
      </c>
      <c r="F525" t="str">
        <v>FX TOBILLO</v>
      </c>
      <c r="G525" t="str">
        <v>T CANULADOS PLAC TTUBO</v>
      </c>
      <c r="H525">
        <v>0</v>
      </c>
      <c r="I525" t="str">
        <v>ACEPTADO</v>
      </c>
      <c r="J525" t="str">
        <v>PARANÁ</v>
      </c>
      <c r="K525" t="str">
        <v>PAMI</v>
      </c>
      <c r="L525">
        <v>0</v>
      </c>
    </row>
    <row r="526" spans="2:12" x14ac:dyDescent="0.25">
      <c r="B526">
        <v>45456</v>
      </c>
      <c r="C526" t="str">
        <v>POHL HUGO</v>
      </c>
      <c r="D526">
        <v>74</v>
      </c>
      <c r="E526" t="str">
        <v>CASERES</v>
      </c>
      <c r="F526" t="str">
        <v>FX CADERA</v>
      </c>
      <c r="G526" t="str">
        <v>CLAVO GAMMA</v>
      </c>
      <c r="H526" t="str">
        <v>VILLALBA</v>
      </c>
      <c r="I526" t="str">
        <v>ACEPTADO</v>
      </c>
      <c r="J526" t="str">
        <v>PARANÁ</v>
      </c>
      <c r="K526" t="str">
        <v>PAMI</v>
      </c>
      <c r="L526">
        <v>0</v>
      </c>
    </row>
    <row r="527" spans="2:12" x14ac:dyDescent="0.25">
      <c r="B527">
        <v>45456</v>
      </c>
      <c r="C527" t="str">
        <v>REYES RAQUEL</v>
      </c>
      <c r="D527">
        <v>61</v>
      </c>
      <c r="E527" t="str">
        <v>CASERES</v>
      </c>
      <c r="F527" t="str">
        <v>FX CADERA</v>
      </c>
      <c r="G527" t="str">
        <v>CLAVO GAMMA</v>
      </c>
      <c r="H527">
        <v>0</v>
      </c>
      <c r="I527" t="str">
        <v>ACEPTADO</v>
      </c>
      <c r="J527" t="str">
        <v>PARANÁ</v>
      </c>
      <c r="K527" t="str">
        <v>PAMI</v>
      </c>
      <c r="L527">
        <v>0</v>
      </c>
    </row>
    <row r="528" spans="2:12" x14ac:dyDescent="0.25">
      <c r="B528">
        <v>45461</v>
      </c>
      <c r="C528" t="str">
        <v>DE LORENZO LUISA</v>
      </c>
      <c r="D528">
        <v>89</v>
      </c>
      <c r="E528" t="str">
        <v>COLLOMB</v>
      </c>
      <c r="F528" t="str">
        <v>FX CADERA</v>
      </c>
      <c r="G528" t="str">
        <v>P THOMPSON</v>
      </c>
      <c r="H528" t="str">
        <v>VILLALBA</v>
      </c>
      <c r="I528" t="str">
        <v>ACEPTADO</v>
      </c>
      <c r="J528" t="str">
        <v>PARANÁ</v>
      </c>
      <c r="K528" t="str">
        <v>PAMI</v>
      </c>
      <c r="L528">
        <v>0</v>
      </c>
    </row>
    <row r="529" spans="2:12" x14ac:dyDescent="0.25">
      <c r="B529">
        <v>45461</v>
      </c>
      <c r="C529" t="str">
        <v>ESPINOSA FANNY</v>
      </c>
      <c r="D529">
        <v>84</v>
      </c>
      <c r="E529" t="str">
        <v>COLLOMB</v>
      </c>
      <c r="F529" t="str">
        <v>FX FEMUR</v>
      </c>
      <c r="G529" t="str">
        <v xml:space="preserve">C ENDOMEDULAR </v>
      </c>
      <c r="H529" t="str">
        <v>VILLALBA</v>
      </c>
      <c r="I529" t="str">
        <v>ACEPTADO</v>
      </c>
      <c r="J529" t="str">
        <v>PARANÁ</v>
      </c>
      <c r="K529" t="str">
        <v>PAMI</v>
      </c>
      <c r="L529">
        <v>0</v>
      </c>
    </row>
    <row r="530" spans="2:12" x14ac:dyDescent="0.25">
      <c r="B530">
        <v>45462</v>
      </c>
      <c r="C530" t="str">
        <v>HOLOTTE FABIANA</v>
      </c>
      <c r="D530">
        <v>56</v>
      </c>
      <c r="E530" t="str">
        <v>CATRIEL GODOY</v>
      </c>
      <c r="F530" t="str">
        <v>GONARTROSIS</v>
      </c>
      <c r="G530" t="str">
        <v xml:space="preserve">PTR </v>
      </c>
      <c r="H530">
        <v>0</v>
      </c>
      <c r="I530" t="str">
        <v>ACEPTADO</v>
      </c>
      <c r="J530" t="str">
        <v>PARANÁ</v>
      </c>
      <c r="K530" t="str">
        <v>S/M</v>
      </c>
      <c r="L530">
        <v>0</v>
      </c>
    </row>
    <row r="531" spans="2:12" x14ac:dyDescent="0.25">
      <c r="B531">
        <v>45462</v>
      </c>
      <c r="C531" t="str">
        <v>MAYDANA MARIA ELISA</v>
      </c>
      <c r="D531">
        <v>63</v>
      </c>
      <c r="E531" t="str">
        <v>THEAUX</v>
      </c>
      <c r="F531" t="str">
        <v>GONARTROSIS</v>
      </c>
      <c r="G531" t="str">
        <v>PTR CON VASTAGOS</v>
      </c>
      <c r="H531">
        <v>0</v>
      </c>
      <c r="I531" t="str">
        <v>ACEPTADO</v>
      </c>
      <c r="J531" t="str">
        <v>PARANÁ</v>
      </c>
      <c r="K531" t="str">
        <v>PAMI</v>
      </c>
      <c r="L531">
        <v>0</v>
      </c>
    </row>
    <row r="532" spans="2:12" x14ac:dyDescent="0.25">
      <c r="B532">
        <v>45462</v>
      </c>
      <c r="C532" t="str">
        <v>RODRIGUEZ PETRONA</v>
      </c>
      <c r="D532">
        <v>85</v>
      </c>
      <c r="E532" t="str">
        <v>CASERES</v>
      </c>
      <c r="F532" t="str">
        <v>FX TOBILLO</v>
      </c>
      <c r="G532" t="str">
        <v>T CANULADOS PLAC TTUBO</v>
      </c>
      <c r="H532">
        <v>0</v>
      </c>
      <c r="I532" t="str">
        <v>ACEPTADO</v>
      </c>
      <c r="J532" t="str">
        <v>PARANÁ</v>
      </c>
      <c r="K532" t="str">
        <v>PAMI</v>
      </c>
      <c r="L532">
        <v>0</v>
      </c>
    </row>
    <row r="533" spans="2:12" x14ac:dyDescent="0.25">
      <c r="B533">
        <v>45463</v>
      </c>
      <c r="C533" t="str">
        <v>MASCAZZINI AXEL</v>
      </c>
      <c r="D533">
        <v>23</v>
      </c>
      <c r="E533" t="str">
        <v>SUKSDORF</v>
      </c>
      <c r="F533" t="str">
        <v>PSEUDOARTROSIS   DE FEMUR</v>
      </c>
      <c r="G533" t="str">
        <v>SET PLACA CONDILEA PLACA DCP INJERTO OSEO 3 TABLAS OSEAS</v>
      </c>
      <c r="H533">
        <v>0</v>
      </c>
      <c r="I533" t="str">
        <v>ACEPTADO</v>
      </c>
      <c r="J533" t="str">
        <v>PARANÁ</v>
      </c>
      <c r="K533" t="str">
        <v>S/M</v>
      </c>
      <c r="L533">
        <v>0</v>
      </c>
    </row>
    <row r="534" spans="2:12" x14ac:dyDescent="0.25">
      <c r="B534">
        <v>45468</v>
      </c>
      <c r="C534" t="str">
        <v>RODRIGUEZ PETRONA</v>
      </c>
      <c r="D534">
        <v>85</v>
      </c>
      <c r="E534" t="str">
        <v>CASERES</v>
      </c>
      <c r="F534" t="str">
        <v>FX DE TOBILLO</v>
      </c>
      <c r="G534" t="str">
        <v>T CANULADOS PLAC TTUBO</v>
      </c>
      <c r="H534" t="str">
        <v>VILLALBA</v>
      </c>
      <c r="I534" t="str">
        <v>ACEPTADO</v>
      </c>
      <c r="J534" t="str">
        <v>PARANÁ</v>
      </c>
      <c r="K534" t="str">
        <v>PAMI</v>
      </c>
      <c r="L534">
        <v>0</v>
      </c>
    </row>
    <row r="535" spans="2:12" x14ac:dyDescent="0.25">
      <c r="B535">
        <v>45468</v>
      </c>
      <c r="C535" t="str">
        <v>IEDRO BEATRIZ</v>
      </c>
      <c r="D535">
        <v>79</v>
      </c>
      <c r="E535" t="str">
        <v>STOPELLO</v>
      </c>
      <c r="F535" t="str">
        <v>COXARTROSIS</v>
      </c>
      <c r="G535" t="str">
        <v>PTC DOB MOV CLAVO DHS</v>
      </c>
      <c r="H535" t="str">
        <v>VILLALBA</v>
      </c>
      <c r="I535" t="str">
        <v>ACEPTADO</v>
      </c>
      <c r="J535" t="str">
        <v>PARANÁ</v>
      </c>
      <c r="K535" t="str">
        <v>PAMI</v>
      </c>
      <c r="L535">
        <v>0</v>
      </c>
    </row>
    <row r="536" spans="2:12" x14ac:dyDescent="0.25">
      <c r="B536">
        <v>45469</v>
      </c>
      <c r="C536" t="str">
        <v>Godoy Herman Ludmila</v>
      </c>
      <c r="D536">
        <v>21</v>
      </c>
      <c r="E536" t="str">
        <v>GARCIA VITOR</v>
      </c>
      <c r="F536" t="str">
        <v>artrodesis de rodilla</v>
      </c>
      <c r="G536" t="str">
        <v>tutortubular ao</v>
      </c>
      <c r="H536">
        <v>0</v>
      </c>
      <c r="I536" t="str">
        <v>ACEPTADO</v>
      </c>
      <c r="J536" t="str">
        <v>PARANÁ</v>
      </c>
      <c r="K536" t="str">
        <v>S/M</v>
      </c>
      <c r="L536">
        <v>0</v>
      </c>
    </row>
    <row r="537" spans="2:12" x14ac:dyDescent="0.25">
      <c r="B537">
        <v>45469</v>
      </c>
      <c r="C537" t="str">
        <v>GUERRERO RICARDO</v>
      </c>
      <c r="D537">
        <v>59</v>
      </c>
      <c r="E537" t="str">
        <v>GARCIA VITOR</v>
      </c>
      <c r="F537" t="str">
        <v>GONARTROSIS</v>
      </c>
      <c r="G537" t="str">
        <v>PTR</v>
      </c>
      <c r="H537" t="str">
        <v>IP MAGNA</v>
      </c>
      <c r="I537" t="str">
        <v>ACEPTADO</v>
      </c>
      <c r="J537" t="str">
        <v>PARANÁ</v>
      </c>
      <c r="K537" t="str">
        <v>PAMI</v>
      </c>
      <c r="L537">
        <v>0</v>
      </c>
    </row>
    <row r="538" spans="2:12" x14ac:dyDescent="0.25">
      <c r="B538">
        <v>45469</v>
      </c>
      <c r="C538" t="str">
        <v>PEREYRA OTILIA</v>
      </c>
      <c r="D538">
        <v>83</v>
      </c>
      <c r="E538" t="str">
        <v>CASERES</v>
      </c>
      <c r="F538" t="str">
        <v>FX CADERA</v>
      </c>
      <c r="G538" t="str">
        <v>P THOMPSON</v>
      </c>
      <c r="H538" t="str">
        <v>VILLALBA</v>
      </c>
      <c r="I538" t="str">
        <v>ACEPTADO</v>
      </c>
      <c r="J538" t="str">
        <v>PARANÁ</v>
      </c>
      <c r="K538" t="str">
        <v>PAMI</v>
      </c>
      <c r="L538">
        <v>0</v>
      </c>
    </row>
    <row r="539" spans="2:12" x14ac:dyDescent="0.25">
      <c r="B539">
        <v>45469</v>
      </c>
      <c r="C539" t="str">
        <v>SCHECHTEL RICARDO</v>
      </c>
      <c r="D539">
        <v>70</v>
      </c>
      <c r="E539">
        <v>0</v>
      </c>
      <c r="F539" t="str">
        <v>GONARTROSIS</v>
      </c>
      <c r="G539" t="str">
        <v>PTR</v>
      </c>
      <c r="H539" t="str">
        <v>IP MAGNA</v>
      </c>
      <c r="I539" t="str">
        <v>ACEPTADO</v>
      </c>
      <c r="J539" t="str">
        <v>PARANÁ</v>
      </c>
      <c r="K539" t="str">
        <v>PAMI</v>
      </c>
      <c r="L539">
        <v>0</v>
      </c>
    </row>
    <row r="540" spans="2:12" x14ac:dyDescent="0.25">
      <c r="B540">
        <v>45469</v>
      </c>
      <c r="C540" t="str">
        <v>VIOLA IRIS</v>
      </c>
      <c r="D540">
        <v>69</v>
      </c>
      <c r="E540" t="str">
        <v>UCEDO</v>
      </c>
      <c r="F540" t="str">
        <v>HALLUX V</v>
      </c>
      <c r="G540" t="str">
        <v>T BAR CAN 3,0 MOTOR DOS CLAV 2 MM Y 2 DE 1,5 MM</v>
      </c>
      <c r="H540">
        <v>0</v>
      </c>
      <c r="I540" t="str">
        <v>ACEPTADO</v>
      </c>
      <c r="J540" t="str">
        <v>PARANÁ</v>
      </c>
      <c r="K540" t="str">
        <v>PAMI</v>
      </c>
      <c r="L540">
        <v>0</v>
      </c>
    </row>
    <row r="541" spans="2:12" x14ac:dyDescent="0.25">
      <c r="B541">
        <v>45469</v>
      </c>
      <c r="C541" t="str">
        <v>JACOB OMAR</v>
      </c>
      <c r="D541">
        <v>70</v>
      </c>
      <c r="E541" t="str">
        <v>STOPELLO</v>
      </c>
      <c r="F541" t="str">
        <v>COXARTROSIS</v>
      </c>
      <c r="G541" t="str">
        <v>ESPACIADOR</v>
      </c>
      <c r="H541" t="str">
        <v>VILLALBA</v>
      </c>
      <c r="I541" t="str">
        <v>ACEPTADO</v>
      </c>
      <c r="J541" t="str">
        <v>PARANÁ</v>
      </c>
      <c r="K541" t="str">
        <v>PAMI</v>
      </c>
      <c r="L541">
        <v>0</v>
      </c>
    </row>
    <row r="542" spans="2:12" x14ac:dyDescent="0.25">
      <c r="B542">
        <v>45471</v>
      </c>
      <c r="C542" t="str">
        <v>BREGAND TERESITA</v>
      </c>
      <c r="D542">
        <v>85</v>
      </c>
      <c r="E542" t="str">
        <v>CASERES</v>
      </c>
      <c r="F542" t="str">
        <v>FX TOBILLO</v>
      </c>
      <c r="G542" t="str">
        <v>T CANU 3,5 4,0 4,5 PLCA TTU</v>
      </c>
      <c r="H542" t="str">
        <v>VILLALBA</v>
      </c>
      <c r="I542" t="str">
        <v>ACEPTADO</v>
      </c>
      <c r="J542" t="str">
        <v>PARANÁ</v>
      </c>
      <c r="K542" t="str">
        <v>PAMI</v>
      </c>
      <c r="L542">
        <v>0</v>
      </c>
    </row>
    <row r="543" spans="2:12" x14ac:dyDescent="0.25">
      <c r="B543">
        <v>45471</v>
      </c>
      <c r="C543" t="str">
        <v>GOMEZ AMALIA</v>
      </c>
      <c r="D543">
        <v>54</v>
      </c>
      <c r="E543" t="str">
        <v>SUKSDORF</v>
      </c>
      <c r="F543" t="str">
        <v>COXARTROSIS</v>
      </c>
      <c r="G543" t="str">
        <v>PTC NO CEMENTADA CAB 32 Y 36</v>
      </c>
      <c r="H543">
        <v>0</v>
      </c>
      <c r="I543" t="str">
        <v>ACEPTADO</v>
      </c>
      <c r="J543" t="str">
        <v>PARANÁ</v>
      </c>
      <c r="K543" t="str">
        <v>PAMI</v>
      </c>
      <c r="L543">
        <v>0</v>
      </c>
    </row>
    <row r="544" spans="2:12" x14ac:dyDescent="0.25">
      <c r="B544">
        <v>45471</v>
      </c>
      <c r="C544" t="str">
        <v>FONTANA CARLOS</v>
      </c>
      <c r="D544">
        <v>65</v>
      </c>
      <c r="E544" t="str">
        <v>GARCIA VITOR</v>
      </c>
      <c r="F544" t="str">
        <v>LCA</v>
      </c>
      <c r="G544" t="str">
        <v>BOTON A T T ROSCA ROMA</v>
      </c>
      <c r="H544">
        <v>0</v>
      </c>
      <c r="I544" t="str">
        <v>ACEPTADO</v>
      </c>
      <c r="J544" t="str">
        <v>PARANÁ</v>
      </c>
      <c r="K544" t="str">
        <v>PAMI</v>
      </c>
      <c r="L544">
        <v>0</v>
      </c>
    </row>
    <row r="545" spans="2:12" x14ac:dyDescent="0.25">
      <c r="B545">
        <v>45471</v>
      </c>
      <c r="C545" t="str">
        <v>PEREYRA JULIO</v>
      </c>
      <c r="D545">
        <v>76</v>
      </c>
      <c r="E545" t="str">
        <v>GARCIA VITOR</v>
      </c>
      <c r="F545" t="str">
        <v>COXARTROSIS</v>
      </c>
      <c r="G545" t="str">
        <v>PTC D DOBLE MOVILIDAD</v>
      </c>
      <c r="H545" t="str">
        <v>VILLALBA</v>
      </c>
      <c r="I545" t="str">
        <v>ACEPTADO</v>
      </c>
      <c r="J545" t="str">
        <v>BOVRIL</v>
      </c>
      <c r="K545" t="str">
        <v>PAMI</v>
      </c>
      <c r="L545">
        <v>0</v>
      </c>
    </row>
    <row r="546" spans="2:12" x14ac:dyDescent="0.25">
      <c r="B546">
        <v>45481</v>
      </c>
      <c r="C546" t="str">
        <v>GOMEZ MATEO</v>
      </c>
      <c r="D546">
        <v>15</v>
      </c>
      <c r="E546" t="str">
        <v>PELEGRINI</v>
      </c>
      <c r="F546" t="str">
        <v>GENU VALGO</v>
      </c>
      <c r="G546" t="str">
        <v>PLACA PUDDU</v>
      </c>
      <c r="H546">
        <v>0</v>
      </c>
      <c r="I546" t="str">
        <v>ACEPTADO</v>
      </c>
      <c r="J546" t="str">
        <v>GUALEGUAY</v>
      </c>
      <c r="K546" t="str">
        <v>S/M</v>
      </c>
      <c r="L546">
        <v>0</v>
      </c>
    </row>
    <row r="547" spans="2:12" x14ac:dyDescent="0.25">
      <c r="B547">
        <v>45485</v>
      </c>
      <c r="C547" t="str">
        <v>BEZERRA RICARDO</v>
      </c>
      <c r="D547">
        <v>73</v>
      </c>
      <c r="E547" t="str">
        <v>THEAUX</v>
      </c>
      <c r="F547" t="str">
        <v>GONARTROSIS</v>
      </c>
      <c r="G547" t="str">
        <v>PTR CON VASTAGO TIBIAL</v>
      </c>
      <c r="H547" t="str">
        <v>VILLALBA</v>
      </c>
      <c r="I547" t="str">
        <v>ACEPTADO</v>
      </c>
      <c r="J547" t="str">
        <v>PARANÁ</v>
      </c>
      <c r="K547" t="str">
        <v>PAMI</v>
      </c>
      <c r="L547">
        <v>0</v>
      </c>
    </row>
    <row r="548" spans="2:12" x14ac:dyDescent="0.25">
      <c r="B548">
        <v>45485</v>
      </c>
      <c r="C548" t="str">
        <v>SCHMIDT JOSE</v>
      </c>
      <c r="D548">
        <v>77</v>
      </c>
      <c r="E548" t="str">
        <v>STOPELLO</v>
      </c>
      <c r="F548" t="str">
        <v>GONARTROSIS</v>
      </c>
      <c r="G548" t="str">
        <v>PTR DERECHA</v>
      </c>
      <c r="H548" t="str">
        <v>VILLALBA</v>
      </c>
      <c r="I548" t="str">
        <v>ACEPTADO</v>
      </c>
      <c r="J548" t="str">
        <v>PARANÁ</v>
      </c>
      <c r="K548" t="str">
        <v>PAMI</v>
      </c>
      <c r="L548">
        <v>0</v>
      </c>
    </row>
    <row r="549" spans="2:12" x14ac:dyDescent="0.25">
      <c r="B549">
        <v>45485</v>
      </c>
      <c r="C549" t="str">
        <v>DIAZ ESTELA</v>
      </c>
      <c r="D549">
        <v>76</v>
      </c>
      <c r="E549" t="str">
        <v>UCEDO</v>
      </c>
      <c r="F549" t="str">
        <v>FX CADERA</v>
      </c>
      <c r="G549" t="str">
        <v>DESTORNILLADOR</v>
      </c>
      <c r="H549">
        <v>0</v>
      </c>
      <c r="I549" t="str">
        <v>ACEPTADO</v>
      </c>
      <c r="J549" t="str">
        <v>PARANÁ</v>
      </c>
      <c r="K549" t="str">
        <v>PAMI</v>
      </c>
      <c r="L549">
        <v>0</v>
      </c>
    </row>
    <row r="550" spans="2:12" x14ac:dyDescent="0.25">
      <c r="B550">
        <v>45485</v>
      </c>
      <c r="C550" t="str">
        <v>JACOB OMAR</v>
      </c>
      <c r="D550">
        <v>0</v>
      </c>
      <c r="E550" t="str">
        <v>STOPELLO</v>
      </c>
      <c r="F550" t="str">
        <v>COXARTROSIS</v>
      </c>
      <c r="G550" t="str">
        <v>4D DE CEMENTO ESPACIADOR</v>
      </c>
      <c r="H550">
        <v>0</v>
      </c>
      <c r="I550" t="str">
        <v>ACEPTADO</v>
      </c>
      <c r="J550" t="str">
        <v>PARANÁ</v>
      </c>
      <c r="K550" t="str">
        <v>PAMI</v>
      </c>
      <c r="L550">
        <v>0</v>
      </c>
    </row>
    <row r="551" spans="2:12" x14ac:dyDescent="0.25">
      <c r="B551">
        <v>45488</v>
      </c>
      <c r="C551" t="str">
        <v>NAIVIAT JORGE</v>
      </c>
      <c r="D551">
        <v>68</v>
      </c>
      <c r="E551" t="str">
        <v>COLLOMB</v>
      </c>
      <c r="F551" t="str">
        <v>FX PELVIS</v>
      </c>
      <c r="G551" t="str">
        <v>5PLACAS TOR CORTIC CANULADOS</v>
      </c>
      <c r="H551">
        <v>0</v>
      </c>
      <c r="I551" t="str">
        <v>ACEPTADO</v>
      </c>
      <c r="J551" t="str">
        <v>PARANÁ</v>
      </c>
      <c r="K551" t="str">
        <v>PAMI</v>
      </c>
      <c r="L551">
        <v>0</v>
      </c>
    </row>
    <row r="552" spans="2:12" x14ac:dyDescent="0.25">
      <c r="B552">
        <v>45490</v>
      </c>
      <c r="C552" t="str">
        <v>ZABALEGUI JOSE MARIA</v>
      </c>
      <c r="D552">
        <v>70</v>
      </c>
      <c r="E552" t="str">
        <v>UCEDO</v>
      </c>
      <c r="F552" t="str">
        <v>PIE PLANO</v>
      </c>
      <c r="G552" t="str">
        <v>2 T CANULADOS 4,5 MM</v>
      </c>
      <c r="H552" t="str">
        <v>VILLALBA</v>
      </c>
      <c r="I552" t="str">
        <v>ACEPTADO</v>
      </c>
      <c r="J552" t="str">
        <v>PARANÁ</v>
      </c>
      <c r="K552" t="str">
        <v>PAMI</v>
      </c>
      <c r="L552">
        <v>0</v>
      </c>
    </row>
    <row r="553" spans="2:12" x14ac:dyDescent="0.25">
      <c r="B553">
        <v>45490</v>
      </c>
      <c r="C553" t="str">
        <v>GARCIA RUBEN</v>
      </c>
      <c r="D553">
        <v>47</v>
      </c>
      <c r="E553" t="str">
        <v>STOPELLO</v>
      </c>
      <c r="F553" t="str">
        <v>LCA</v>
      </c>
      <c r="G553" t="str">
        <v>1 B FEMORAL 1 T INTERFERENCIAL</v>
      </c>
      <c r="H553">
        <v>0</v>
      </c>
      <c r="I553" t="str">
        <v>ACEPTADO</v>
      </c>
      <c r="J553" t="str">
        <v>PARANÁ</v>
      </c>
      <c r="K553" t="str">
        <v>S/M</v>
      </c>
      <c r="L553">
        <v>0</v>
      </c>
    </row>
    <row r="554" spans="2:12" x14ac:dyDescent="0.25">
      <c r="B554">
        <v>45490</v>
      </c>
      <c r="C554" t="str">
        <v>VERGARA CARINA</v>
      </c>
      <c r="D554">
        <v>50</v>
      </c>
      <c r="E554" t="str">
        <v>UCEDO</v>
      </c>
      <c r="F554" t="str">
        <v>DESGASTE DE MATERIAL PROTESICO</v>
      </c>
      <c r="G554" t="str">
        <v>CAMBIO DE CONO PARA PR</v>
      </c>
      <c r="H554">
        <v>0</v>
      </c>
      <c r="I554" t="str">
        <v>ACEPTADO</v>
      </c>
      <c r="J554" t="str">
        <v>PARANÁ</v>
      </c>
      <c r="K554" t="str">
        <v>S/M</v>
      </c>
      <c r="L554">
        <v>0</v>
      </c>
    </row>
    <row r="555" spans="2:12" x14ac:dyDescent="0.25">
      <c r="B555">
        <v>45490</v>
      </c>
      <c r="C555" t="str">
        <v>EMERI NESTOR</v>
      </c>
      <c r="D555">
        <v>60</v>
      </c>
      <c r="E555" t="str">
        <v>SUKSDORF</v>
      </c>
      <c r="F555" t="str">
        <v>GONALGIA</v>
      </c>
      <c r="G555" t="str">
        <v>PTR</v>
      </c>
      <c r="H555">
        <v>0</v>
      </c>
      <c r="I555" t="str">
        <v>ACEPTADO</v>
      </c>
      <c r="J555" t="str">
        <v>PARANÁ</v>
      </c>
      <c r="K555" t="str">
        <v>S/M</v>
      </c>
      <c r="L555">
        <v>0</v>
      </c>
    </row>
    <row r="556" spans="2:12" x14ac:dyDescent="0.25">
      <c r="B556">
        <v>45490</v>
      </c>
      <c r="C556" t="str">
        <v>PAPINI AMABILA</v>
      </c>
      <c r="D556">
        <v>85</v>
      </c>
      <c r="E556" t="str">
        <v>UCEDO</v>
      </c>
      <c r="F556" t="str">
        <v>FX CADERA</v>
      </c>
      <c r="G556" t="str">
        <v>CLAVO GAMMA</v>
      </c>
      <c r="H556" t="str">
        <v>VILLALBA</v>
      </c>
      <c r="I556" t="str">
        <v>ACEPTADO</v>
      </c>
      <c r="J556" t="str">
        <v xml:space="preserve">SANTA ELENA </v>
      </c>
      <c r="K556" t="str">
        <v>PAMI</v>
      </c>
      <c r="L556">
        <v>0</v>
      </c>
    </row>
    <row r="557" spans="2:12" x14ac:dyDescent="0.25">
      <c r="B557">
        <v>45490</v>
      </c>
      <c r="C557" t="str">
        <v>CABRERA MAGDALENA</v>
      </c>
      <c r="D557">
        <v>70</v>
      </c>
      <c r="E557" t="str">
        <v>GARCIA VITOR</v>
      </c>
      <c r="F557" t="str">
        <v>GENU VARO</v>
      </c>
      <c r="G557" t="str">
        <v>PTR NACIONAL</v>
      </c>
      <c r="H557" t="str">
        <v>VILLALBA</v>
      </c>
      <c r="I557" t="str">
        <v>ACEPTADO</v>
      </c>
      <c r="J557" t="str">
        <v>PARANÁ</v>
      </c>
      <c r="K557" t="str">
        <v>PAMI</v>
      </c>
      <c r="L557">
        <v>0</v>
      </c>
    </row>
    <row r="558" spans="2:12" x14ac:dyDescent="0.25">
      <c r="B558">
        <v>45491</v>
      </c>
      <c r="C558" t="str">
        <v xml:space="preserve">CARBONI LUCIA </v>
      </c>
      <c r="D558">
        <v>0</v>
      </c>
      <c r="E558" t="str">
        <v>STOPELLO</v>
      </c>
      <c r="F558" t="str">
        <v>LCA</v>
      </c>
      <c r="G558" t="str">
        <v>1 BOTON 1 TORNILLO I</v>
      </c>
      <c r="H558">
        <v>0</v>
      </c>
      <c r="I558" t="str">
        <v>ACEPTADO</v>
      </c>
      <c r="J558" t="str">
        <v>VICTORIA</v>
      </c>
      <c r="K558" t="str">
        <v>S/M</v>
      </c>
      <c r="L558">
        <v>0</v>
      </c>
    </row>
    <row r="559" spans="2:12" x14ac:dyDescent="0.25">
      <c r="B559">
        <v>45491</v>
      </c>
      <c r="C559" t="str">
        <v>RUIZ NATALIA</v>
      </c>
      <c r="D559">
        <v>32</v>
      </c>
      <c r="E559" t="str">
        <v>STOPELLO</v>
      </c>
      <c r="F559" t="str">
        <v>LCA</v>
      </c>
      <c r="G559" t="str">
        <v>1 BOTON 1 TORNILLO I</v>
      </c>
      <c r="H559">
        <v>0</v>
      </c>
      <c r="I559" t="str">
        <v>ACEPTADO</v>
      </c>
      <c r="J559" t="str">
        <v>MACIA</v>
      </c>
      <c r="K559" t="str">
        <v>S/M</v>
      </c>
      <c r="L559">
        <v>0</v>
      </c>
    </row>
    <row r="560" spans="2:12" x14ac:dyDescent="0.25">
      <c r="B560">
        <v>45491</v>
      </c>
      <c r="C560" t="str">
        <v>WELSCH MARTA</v>
      </c>
      <c r="D560">
        <v>79</v>
      </c>
      <c r="E560" t="str">
        <v>SUKSDORF</v>
      </c>
      <c r="F560" t="str">
        <v>COXARTROSIS</v>
      </c>
      <c r="G560" t="str">
        <v>PTC COTILO D MOV</v>
      </c>
      <c r="H560">
        <v>0</v>
      </c>
      <c r="I560" t="str">
        <v>ACEPTADO</v>
      </c>
      <c r="J560" t="str">
        <v>PARANÁ</v>
      </c>
      <c r="K560" t="str">
        <v>PAMI</v>
      </c>
      <c r="L560">
        <v>0</v>
      </c>
    </row>
    <row r="561" spans="2:12" x14ac:dyDescent="0.25">
      <c r="B561">
        <v>45495</v>
      </c>
      <c r="C561">
        <v>0</v>
      </c>
      <c r="D561">
        <v>45</v>
      </c>
      <c r="E561" t="str">
        <v>PELEGRINI</v>
      </c>
      <c r="F561" t="str">
        <v>LCA</v>
      </c>
      <c r="G561" t="str">
        <v>1 BOTON 1 TORNILLO 1 INMOV</v>
      </c>
      <c r="H561">
        <v>0</v>
      </c>
      <c r="I561" t="str">
        <v>ACEPTADO</v>
      </c>
      <c r="J561" t="str">
        <v>DIAMANTE</v>
      </c>
      <c r="K561" t="str">
        <v>S/M</v>
      </c>
      <c r="L561">
        <v>0</v>
      </c>
    </row>
    <row r="562" spans="2:12" x14ac:dyDescent="0.25">
      <c r="B562">
        <v>45497</v>
      </c>
      <c r="C562" t="str">
        <v>ESCOUBOUE VICTOR</v>
      </c>
      <c r="D562">
        <v>44</v>
      </c>
      <c r="E562" t="str">
        <v>CATRIEL GODOY</v>
      </c>
      <c r="F562" t="str">
        <v>FX HUMERO</v>
      </c>
      <c r="G562" t="str">
        <v>1 PLACA BLOQUEADA</v>
      </c>
      <c r="H562">
        <v>0</v>
      </c>
      <c r="I562" t="str">
        <v>ACEPTADO</v>
      </c>
      <c r="J562" t="str">
        <v>PARANÁ</v>
      </c>
      <c r="K562" t="str">
        <v>S/M</v>
      </c>
      <c r="L562">
        <v>0</v>
      </c>
    </row>
    <row r="563" spans="2:12" x14ac:dyDescent="0.25">
      <c r="B563">
        <v>45497</v>
      </c>
      <c r="C563" t="str">
        <v>BAST OLGA LAURA</v>
      </c>
      <c r="D563">
        <v>72</v>
      </c>
      <c r="E563" t="str">
        <v>VENTURI</v>
      </c>
      <c r="F563" t="str">
        <v>FX HUMERO</v>
      </c>
      <c r="G563" t="str">
        <v>1 PLACA PHILO</v>
      </c>
      <c r="H563" t="str">
        <v>VILLALBA</v>
      </c>
      <c r="I563" t="str">
        <v>ACEPTADO</v>
      </c>
      <c r="J563" t="str">
        <v>DIAMANTE</v>
      </c>
      <c r="K563" t="str">
        <v>PAMI</v>
      </c>
      <c r="L563">
        <v>0</v>
      </c>
    </row>
    <row r="564" spans="2:12" x14ac:dyDescent="0.25">
      <c r="B564">
        <v>45499</v>
      </c>
      <c r="C564" t="str">
        <v>GIUSTI MARIA</v>
      </c>
      <c r="D564">
        <v>71</v>
      </c>
      <c r="E564" t="str">
        <v>VENTURI</v>
      </c>
      <c r="F564" t="str">
        <v xml:space="preserve">FX </v>
      </c>
      <c r="G564" t="str">
        <v>SET DE VERTEBROPLASTIA</v>
      </c>
      <c r="H564" t="str">
        <v>VILLALBA</v>
      </c>
      <c r="I564" t="str">
        <v>ACEPTADO</v>
      </c>
      <c r="J564" t="str">
        <v>PARANÁ</v>
      </c>
      <c r="K564" t="str">
        <v>PAMI</v>
      </c>
      <c r="L564">
        <v>0</v>
      </c>
    </row>
    <row r="565" spans="2:12" x14ac:dyDescent="0.25">
      <c r="B565">
        <v>45499</v>
      </c>
      <c r="C565" t="str">
        <v>GUTIERREZ BASILIO</v>
      </c>
      <c r="D565">
        <v>65</v>
      </c>
      <c r="E565" t="str">
        <v>SUKSDORF</v>
      </c>
      <c r="F565" t="str">
        <v>GONARTROSIS</v>
      </c>
      <c r="G565" t="str">
        <v>PTR ANDROMICA</v>
      </c>
      <c r="H565">
        <v>0</v>
      </c>
      <c r="I565" t="str">
        <v>ACEPTADO</v>
      </c>
      <c r="J565" t="str">
        <v>PARANÁ</v>
      </c>
      <c r="K565" t="str">
        <v>PAMI</v>
      </c>
      <c r="L565">
        <v>0</v>
      </c>
    </row>
    <row r="566" spans="2:12" x14ac:dyDescent="0.25">
      <c r="B566">
        <v>45499</v>
      </c>
      <c r="C566" t="str">
        <v>JUMILLA MARIA</v>
      </c>
      <c r="D566">
        <v>68</v>
      </c>
      <c r="E566" t="str">
        <v xml:space="preserve">URANGA </v>
      </c>
      <c r="F566" t="str">
        <v>FX CADERA</v>
      </c>
      <c r="G566" t="str">
        <v>PTC +COTILO D MOV</v>
      </c>
      <c r="H566">
        <v>0</v>
      </c>
      <c r="I566" t="str">
        <v>ACEPTADO</v>
      </c>
      <c r="J566" t="str">
        <v>PARANÁ</v>
      </c>
      <c r="K566" t="str">
        <v>PAMI</v>
      </c>
      <c r="L566">
        <v>0</v>
      </c>
    </row>
    <row r="567" spans="2:12" x14ac:dyDescent="0.25">
      <c r="B567">
        <v>45499</v>
      </c>
      <c r="C567" t="str">
        <v>BLANCO LIDIA</v>
      </c>
      <c r="D567">
        <v>72</v>
      </c>
      <c r="E567" t="str">
        <v>PELEGRINI</v>
      </c>
      <c r="F567" t="str">
        <v>COXARTROSIS</v>
      </c>
      <c r="G567" t="str">
        <v>PTC CEMENTADA</v>
      </c>
      <c r="H567">
        <v>0</v>
      </c>
      <c r="I567" t="str">
        <v>ACEPTADO</v>
      </c>
      <c r="J567" t="str">
        <v>PARANÁ</v>
      </c>
      <c r="K567" t="str">
        <v>PAMI</v>
      </c>
      <c r="L567">
        <v>0</v>
      </c>
    </row>
    <row r="568" spans="2:12" x14ac:dyDescent="0.25">
      <c r="B568">
        <v>45503</v>
      </c>
      <c r="C568" t="str">
        <v>VERON RAMON</v>
      </c>
      <c r="D568">
        <v>36</v>
      </c>
      <c r="E568" t="str">
        <v>GARCIA VITOR</v>
      </c>
      <c r="F568" t="str">
        <v>LESION DE TENDON R</v>
      </c>
      <c r="G568" t="str">
        <v>2 ARPONES DE PEEK 3,5 1 TORNILLO 2 ARPONES DE 3,5-5</v>
      </c>
      <c r="H568">
        <v>0</v>
      </c>
      <c r="I568" t="str">
        <v>ACEPTADO</v>
      </c>
      <c r="J568" t="str">
        <v>PARANÁ</v>
      </c>
      <c r="K568" t="str">
        <v>S/M</v>
      </c>
      <c r="L568">
        <v>0</v>
      </c>
    </row>
    <row r="569" spans="2:12" x14ac:dyDescent="0.25">
      <c r="B569">
        <v>45503</v>
      </c>
      <c r="C569" t="str">
        <v>PIANI ANDRES</v>
      </c>
      <c r="D569">
        <v>49</v>
      </c>
      <c r="E569" t="str">
        <v>CESAR MEYNET</v>
      </c>
      <c r="F569" t="str">
        <v>COXARTROSIS</v>
      </c>
      <c r="G569" t="str">
        <v>PTC 1 COTILO TRABECULADO TALLO CEMENTADO</v>
      </c>
      <c r="H569">
        <v>0</v>
      </c>
      <c r="I569" t="str">
        <v>ACEPTADO</v>
      </c>
      <c r="J569" t="str">
        <v>PARANÁ</v>
      </c>
      <c r="K569" t="str">
        <v>S/M</v>
      </c>
      <c r="L569">
        <v>0</v>
      </c>
    </row>
    <row r="570" spans="2:12" x14ac:dyDescent="0.25">
      <c r="B570">
        <v>45503</v>
      </c>
      <c r="C570" t="str">
        <v>WILHELM IRMA</v>
      </c>
      <c r="D570">
        <v>85</v>
      </c>
      <c r="E570" t="str">
        <v>VENTURI</v>
      </c>
      <c r="F570" t="str">
        <v>FX DE D12</v>
      </c>
      <c r="G570" t="str">
        <v>2 CEMENTOS DE VERTEBROPLASTIA</v>
      </c>
      <c r="H570">
        <v>0</v>
      </c>
      <c r="I570" t="str">
        <v>ACEPTADO</v>
      </c>
      <c r="J570" t="str">
        <v>PARANÁ</v>
      </c>
      <c r="K570" t="str">
        <v>PAMI</v>
      </c>
      <c r="L570">
        <v>0</v>
      </c>
    </row>
    <row r="571" spans="2:12" x14ac:dyDescent="0.25">
      <c r="B571">
        <v>45503</v>
      </c>
      <c r="C571" t="str">
        <v>PERALTA IRMA</v>
      </c>
      <c r="D571">
        <v>74</v>
      </c>
      <c r="E571" t="str">
        <v xml:space="preserve">URANGA </v>
      </c>
      <c r="F571" t="str">
        <v>FX CADERA</v>
      </c>
      <c r="G571" t="str">
        <v>PTC BIPOLAR</v>
      </c>
      <c r="H571">
        <v>0</v>
      </c>
      <c r="I571" t="str">
        <v>ACEPTADO</v>
      </c>
      <c r="J571" t="str">
        <v>PARANÁ</v>
      </c>
      <c r="K571" t="str">
        <v>PAMI</v>
      </c>
      <c r="L571">
        <v>0</v>
      </c>
    </row>
    <row r="572" spans="2:12" x14ac:dyDescent="0.25">
      <c r="B572">
        <v>45503</v>
      </c>
      <c r="C572" t="str">
        <v>BLANCO LIDIA</v>
      </c>
      <c r="D572">
        <v>72</v>
      </c>
      <c r="E572" t="str">
        <v>PELEGRINI</v>
      </c>
      <c r="F572" t="str">
        <v>COXARTROSIS</v>
      </c>
      <c r="G572" t="str">
        <v>PTC CEMENTADA</v>
      </c>
      <c r="H572">
        <v>0</v>
      </c>
      <c r="I572" t="str">
        <v>ACEPTADO</v>
      </c>
      <c r="J572" t="str">
        <v>PARANÁ</v>
      </c>
      <c r="K572" t="str">
        <v>PAMI</v>
      </c>
      <c r="L572">
        <v>0</v>
      </c>
    </row>
    <row r="573" spans="2:12" x14ac:dyDescent="0.25">
      <c r="B573">
        <v>45503</v>
      </c>
      <c r="C573" t="str">
        <v>RODRIGUEZ LEO</v>
      </c>
      <c r="D573">
        <v>24</v>
      </c>
      <c r="E573" t="str">
        <v>GARCIA VITOR</v>
      </c>
      <c r="F573" t="str">
        <v>FX DE FEMUR</v>
      </c>
      <c r="G573" t="str">
        <v>3 CABEZAS DE BANCO DE CADAVERES 1 PLACA DE RECO CON TORNILLOS</v>
      </c>
      <c r="H573">
        <v>0</v>
      </c>
      <c r="I573" t="str">
        <v>ACEPTADO</v>
      </c>
      <c r="J573" t="str">
        <v>GUALEGUAY</v>
      </c>
      <c r="K573" t="str">
        <v>S/M</v>
      </c>
      <c r="L573">
        <v>0</v>
      </c>
    </row>
    <row r="574" spans="2:12" x14ac:dyDescent="0.25">
      <c r="B574">
        <v>45503</v>
      </c>
      <c r="C574" t="str">
        <v>KOBS JULIO</v>
      </c>
      <c r="D574">
        <v>0</v>
      </c>
      <c r="E574" t="str">
        <v>GARCIA VITOR</v>
      </c>
      <c r="F574" t="str">
        <v>LUXACION PTC</v>
      </c>
      <c r="G574" t="str">
        <v xml:space="preserve">1 COTILO D MOV </v>
      </c>
      <c r="H574">
        <v>0</v>
      </c>
      <c r="I574" t="str">
        <v>ACEPTADO</v>
      </c>
      <c r="J574" t="str">
        <v>PARANÁ</v>
      </c>
      <c r="K574" t="str">
        <v>S/M</v>
      </c>
      <c r="L574">
        <v>0</v>
      </c>
    </row>
    <row r="575" spans="2:12" x14ac:dyDescent="0.25">
      <c r="B575">
        <v>45505</v>
      </c>
      <c r="C575" t="str">
        <v>GONZALEZ CLAUDIO</v>
      </c>
      <c r="D575">
        <v>52</v>
      </c>
      <c r="E575" t="str">
        <v>YACOMO</v>
      </c>
      <c r="F575" t="str">
        <v>LCA</v>
      </c>
      <c r="G575" t="str">
        <v>1 BOTON 1 TORNILLO</v>
      </c>
      <c r="H575">
        <v>0</v>
      </c>
      <c r="I575" t="str">
        <v>ACEPTADO</v>
      </c>
      <c r="J575" t="str">
        <v>PARANÁ</v>
      </c>
      <c r="K575" t="str">
        <v>S/M</v>
      </c>
      <c r="L575">
        <v>0</v>
      </c>
    </row>
    <row r="576" spans="2:12" x14ac:dyDescent="0.25">
      <c r="B576">
        <v>45505</v>
      </c>
      <c r="C576" t="str">
        <v>ROMERO ELSA</v>
      </c>
      <c r="D576">
        <v>80</v>
      </c>
      <c r="E576" t="str">
        <v>THOMPSOM</v>
      </c>
      <c r="F576" t="str">
        <v>FX HOMBRO</v>
      </c>
      <c r="G576" t="str">
        <v>PTH</v>
      </c>
      <c r="H576" t="str">
        <v>VILLALBA</v>
      </c>
      <c r="I576" t="str">
        <v>ACEPTADO</v>
      </c>
      <c r="J576" t="str">
        <v>PARANÁ</v>
      </c>
      <c r="K576" t="str">
        <v>PAMI</v>
      </c>
      <c r="L576">
        <v>0</v>
      </c>
    </row>
    <row r="577" spans="2:12" x14ac:dyDescent="0.25">
      <c r="B577">
        <v>45505</v>
      </c>
      <c r="C577" t="str">
        <v>VASQUEZ CLAUDIA</v>
      </c>
      <c r="D577">
        <v>60</v>
      </c>
      <c r="E577" t="str">
        <v xml:space="preserve">URANGA </v>
      </c>
      <c r="F577" t="str">
        <v>HERNIA DE DISCO</v>
      </c>
      <c r="G577" t="str">
        <v>1 CAGE 1 SUSTITUTO 1DRILL1 SET DE SEPARADORES</v>
      </c>
      <c r="H577">
        <v>0</v>
      </c>
      <c r="I577" t="str">
        <v>ACEPTADO</v>
      </c>
      <c r="J577" t="str">
        <v>PARANÁ</v>
      </c>
      <c r="K577" t="str">
        <v>PAMI</v>
      </c>
      <c r="L577">
        <v>0</v>
      </c>
    </row>
    <row r="578" spans="2:12" x14ac:dyDescent="0.25">
      <c r="B578">
        <v>45505</v>
      </c>
      <c r="C578" t="str">
        <v>CARDONA HUGO</v>
      </c>
      <c r="D578">
        <v>67</v>
      </c>
      <c r="E578" t="str">
        <v>CATRIEL GODOY</v>
      </c>
      <c r="F578" t="str">
        <v>RUPTURA M ROTADOR</v>
      </c>
      <c r="G578" t="str">
        <v xml:space="preserve">2 ARPONES </v>
      </c>
      <c r="H578">
        <v>0</v>
      </c>
      <c r="I578" t="str">
        <v>ACEPTADO</v>
      </c>
      <c r="J578" t="str">
        <v>HASENKAMP</v>
      </c>
      <c r="K578" t="str">
        <v>PAMI</v>
      </c>
      <c r="L578">
        <v>0</v>
      </c>
    </row>
    <row r="579" spans="2:12" x14ac:dyDescent="0.25">
      <c r="B579">
        <v>45505</v>
      </c>
      <c r="C579" t="str">
        <v>RUIZ MARIA ESTER</v>
      </c>
      <c r="D579">
        <v>72</v>
      </c>
      <c r="E579" t="str">
        <v xml:space="preserve">URANGA </v>
      </c>
      <c r="F579" t="str">
        <v>FX CADERA</v>
      </c>
      <c r="G579" t="str">
        <v>PTC COTILO D MOV</v>
      </c>
      <c r="H579">
        <v>0</v>
      </c>
      <c r="I579" t="str">
        <v>ACEPTADO</v>
      </c>
      <c r="J579" t="str">
        <v>PARANÁ</v>
      </c>
      <c r="K579" t="str">
        <v>PAMI</v>
      </c>
      <c r="L579">
        <v>0</v>
      </c>
    </row>
    <row r="580" spans="2:12" x14ac:dyDescent="0.25">
      <c r="B580">
        <v>45505</v>
      </c>
      <c r="C580" t="str">
        <v>ALVAREZ JOSE</v>
      </c>
      <c r="D580">
        <v>80</v>
      </c>
      <c r="E580" t="str">
        <v>CASERES</v>
      </c>
      <c r="F580" t="str">
        <v>FX CADERA</v>
      </c>
      <c r="G580" t="str">
        <v>CLAVO GAMMA</v>
      </c>
      <c r="H580" t="str">
        <v>VILLALBA</v>
      </c>
      <c r="I580" t="str">
        <v>ACEPTADO</v>
      </c>
      <c r="J580" t="str">
        <v>PARANÁ</v>
      </c>
      <c r="K580" t="str">
        <v>PAMI</v>
      </c>
      <c r="L580">
        <v>0</v>
      </c>
    </row>
    <row r="581" spans="2:12" x14ac:dyDescent="0.25">
      <c r="B581">
        <v>45505</v>
      </c>
      <c r="C581" t="str">
        <v>ORTMANN LIDIA</v>
      </c>
      <c r="D581">
        <v>79</v>
      </c>
      <c r="E581" t="str">
        <v>CASERES</v>
      </c>
      <c r="F581" t="str">
        <v>FX CADERA</v>
      </c>
      <c r="G581" t="str">
        <v>PTC CEMENTADA COTILO D MOV</v>
      </c>
      <c r="H581">
        <v>0</v>
      </c>
      <c r="I581" t="str">
        <v>ACEPTADO</v>
      </c>
      <c r="J581" t="str">
        <v>PARANÁ</v>
      </c>
      <c r="K581" t="str">
        <v>PAMI</v>
      </c>
      <c r="L581">
        <v>0</v>
      </c>
    </row>
    <row r="582" spans="2:12" x14ac:dyDescent="0.25">
      <c r="B582">
        <v>45506</v>
      </c>
      <c r="C582" t="str">
        <v>MORALES SUSANA</v>
      </c>
      <c r="D582">
        <v>38</v>
      </c>
      <c r="E582" t="str">
        <v>SUKSDORF</v>
      </c>
      <c r="F582" t="str">
        <v>NECROSIS</v>
      </c>
      <c r="G582" t="str">
        <v>1 PTC</v>
      </c>
      <c r="H582">
        <v>0</v>
      </c>
      <c r="I582" t="str">
        <v>ACEPTADO</v>
      </c>
      <c r="J582" t="str">
        <v>PARANÁ</v>
      </c>
      <c r="K582" t="str">
        <v>S/M</v>
      </c>
      <c r="L582">
        <v>0</v>
      </c>
    </row>
    <row r="583" spans="2:12" x14ac:dyDescent="0.25">
      <c r="B583">
        <v>45506</v>
      </c>
      <c r="C583" t="str">
        <v>ARMOA NAHUEL</v>
      </c>
      <c r="D583">
        <v>30</v>
      </c>
      <c r="E583" t="str">
        <v xml:space="preserve">URANGA </v>
      </c>
      <c r="F583" t="str">
        <v>ESPONDIOLISTESIS</v>
      </c>
      <c r="G583" t="str">
        <v xml:space="preserve"> 1 ALIF DE PEEK 1 DOSIS DE SUSTITUTO </v>
      </c>
      <c r="H583">
        <v>0</v>
      </c>
      <c r="I583" t="str">
        <v>ACEPTADO</v>
      </c>
      <c r="J583">
        <v>0</v>
      </c>
      <c r="K583" t="str">
        <v>S/M</v>
      </c>
      <c r="L583">
        <v>0</v>
      </c>
    </row>
    <row r="584" spans="2:12" x14ac:dyDescent="0.25">
      <c r="B584">
        <v>45512</v>
      </c>
      <c r="C584" t="str">
        <v>RETAMAL NILDA</v>
      </c>
      <c r="D584">
        <v>70</v>
      </c>
      <c r="E584" t="str">
        <v>UCEDO</v>
      </c>
      <c r="F584" t="str">
        <v>HALLUX VALGUS</v>
      </c>
      <c r="G584" t="str">
        <v>TORNILLO TIPO BAROUK CANULADOS CLAVIJAS</v>
      </c>
      <c r="H584">
        <v>0</v>
      </c>
      <c r="I584" t="str">
        <v>ACEPTADO</v>
      </c>
      <c r="J584" t="str">
        <v>PARANÁ</v>
      </c>
      <c r="K584" t="str">
        <v>PAMI</v>
      </c>
      <c r="L584">
        <v>0</v>
      </c>
    </row>
    <row r="585" spans="2:12" x14ac:dyDescent="0.25">
      <c r="B585">
        <v>45516</v>
      </c>
      <c r="C585" t="str">
        <v>PINO ALMA</v>
      </c>
      <c r="D585">
        <v>65</v>
      </c>
      <c r="E585" t="str">
        <v>NARVAEZ</v>
      </c>
      <c r="F585" t="str">
        <v>ARTRODESIS DE T</v>
      </c>
      <c r="G585" t="str">
        <v>TORNILLOS CANULADOS DE 2 A 4,5</v>
      </c>
      <c r="H585">
        <v>0</v>
      </c>
      <c r="I585" t="str">
        <v>ACEPTADO</v>
      </c>
      <c r="J585" t="str">
        <v xml:space="preserve">SANTA ELENA </v>
      </c>
      <c r="K585" t="str">
        <v>PAMI</v>
      </c>
      <c r="L585">
        <v>0</v>
      </c>
    </row>
    <row r="586" spans="2:12" x14ac:dyDescent="0.25">
      <c r="B586">
        <v>45516</v>
      </c>
      <c r="C586" t="str">
        <v>SCHLEGEL LIDIA</v>
      </c>
      <c r="D586">
        <v>88</v>
      </c>
      <c r="E586" t="str">
        <v>PEÑA TANIA</v>
      </c>
      <c r="F586" t="str">
        <v>FX CADERA</v>
      </c>
      <c r="G586" t="str">
        <v>PTC COTILO D MOV</v>
      </c>
      <c r="H586" t="str">
        <v>VILLALBA</v>
      </c>
      <c r="I586" t="str">
        <v>ACEPTADO</v>
      </c>
      <c r="J586" t="str">
        <v>PARANÁ</v>
      </c>
      <c r="K586" t="str">
        <v>PAMI</v>
      </c>
      <c r="L586">
        <v>0</v>
      </c>
    </row>
    <row r="587" spans="2:12" x14ac:dyDescent="0.25">
      <c r="B587">
        <v>45516</v>
      </c>
      <c r="C587" t="str">
        <v>RODRIGUEZ ROSA</v>
      </c>
      <c r="D587">
        <v>64</v>
      </c>
      <c r="E587" t="str">
        <v>UCEDO</v>
      </c>
      <c r="F587" t="str">
        <v>FX HUMERO</v>
      </c>
      <c r="G587" t="str">
        <v>1 PLACA PHILO TORNILLOS CANULADOS</v>
      </c>
      <c r="H587">
        <v>0</v>
      </c>
      <c r="I587" t="str">
        <v>ACEPTADO</v>
      </c>
      <c r="J587" t="str">
        <v>PARANÁ</v>
      </c>
      <c r="K587" t="str">
        <v>PAMI</v>
      </c>
      <c r="L587">
        <v>0</v>
      </c>
    </row>
    <row r="588" spans="2:12" x14ac:dyDescent="0.25">
      <c r="B588">
        <v>45516</v>
      </c>
      <c r="C588" t="str">
        <v>CABRERA ALICIA</v>
      </c>
      <c r="D588">
        <v>71</v>
      </c>
      <c r="E588" t="str">
        <v>CESAR MEYNET</v>
      </c>
      <c r="F588">
        <v>0</v>
      </c>
      <c r="G588" t="str">
        <v>PTC  COTILO D MOV</v>
      </c>
      <c r="H588" t="str">
        <v>VILLALBA</v>
      </c>
      <c r="I588" t="str">
        <v>ACEPTADO</v>
      </c>
      <c r="J588" t="str">
        <v>LA PAZ</v>
      </c>
      <c r="K588" t="str">
        <v>PAMI</v>
      </c>
      <c r="L588">
        <v>0</v>
      </c>
    </row>
    <row r="589" spans="2:12" x14ac:dyDescent="0.25">
      <c r="B589">
        <v>45516</v>
      </c>
      <c r="C589" t="str">
        <v>WAGNER OLGA</v>
      </c>
      <c r="D589">
        <v>76</v>
      </c>
      <c r="E589" t="str">
        <v>GARCIA VITOR</v>
      </c>
      <c r="F589" t="str">
        <v>GONARTROSIS</v>
      </c>
      <c r="G589" t="str">
        <v>PTR</v>
      </c>
      <c r="H589">
        <v>0</v>
      </c>
      <c r="I589" t="str">
        <v>ACEPTADO</v>
      </c>
      <c r="J589" t="str">
        <v>PARANÁ</v>
      </c>
      <c r="K589" t="str">
        <v>PAMI</v>
      </c>
      <c r="L589">
        <v>0</v>
      </c>
    </row>
    <row r="590" spans="2:12" x14ac:dyDescent="0.25">
      <c r="B590">
        <v>45516</v>
      </c>
      <c r="C590" t="str">
        <v>CORDOBA MARIA MERCEDES</v>
      </c>
      <c r="D590">
        <v>53</v>
      </c>
      <c r="E590" t="str">
        <v>COLLOMB</v>
      </c>
      <c r="F590" t="str">
        <v>FX FEMUR</v>
      </c>
      <c r="G590" t="str">
        <v>CLAVO GAMMA C ENDOMEDULAR</v>
      </c>
      <c r="H590">
        <v>0</v>
      </c>
      <c r="I590" t="str">
        <v>ACEPTADO</v>
      </c>
      <c r="J590" t="str">
        <v>PARANÁ</v>
      </c>
      <c r="K590" t="str">
        <v>PAMI</v>
      </c>
      <c r="L590">
        <v>0</v>
      </c>
    </row>
    <row r="591" spans="2:12" x14ac:dyDescent="0.25">
      <c r="B591">
        <v>45516</v>
      </c>
      <c r="C591" t="str">
        <v>MUÑOZ PABLO</v>
      </c>
      <c r="D591">
        <v>42</v>
      </c>
      <c r="E591" t="str">
        <v>PELEGRINI</v>
      </c>
      <c r="F591" t="str">
        <v>LCA</v>
      </c>
      <c r="G591" t="str">
        <v>1 BOTON 1 TORNILLO</v>
      </c>
      <c r="H591">
        <v>0</v>
      </c>
      <c r="I591" t="str">
        <v>ACEPTADO</v>
      </c>
      <c r="J591" t="str">
        <v>PARANÁ</v>
      </c>
      <c r="K591" t="str">
        <v>S/M</v>
      </c>
      <c r="L591">
        <v>0</v>
      </c>
    </row>
    <row r="592" spans="2:12" x14ac:dyDescent="0.25">
      <c r="B592">
        <v>45516</v>
      </c>
      <c r="C592" t="str">
        <v>ROMERO PABLO</v>
      </c>
      <c r="D592">
        <v>31</v>
      </c>
      <c r="E592" t="str">
        <v>GARCIA VITOR</v>
      </c>
      <c r="F592" t="str">
        <v>PSEUDOARTROSIS DE FEMUR</v>
      </c>
      <c r="G592" t="str">
        <v>1SET DE EXTRACCION DE CLAVO FEMUR PLACAS CONDILEAS</v>
      </c>
      <c r="H592">
        <v>0</v>
      </c>
      <c r="I592" t="str">
        <v>ACEPTADO</v>
      </c>
      <c r="J592" t="str">
        <v>PARANÁ</v>
      </c>
      <c r="K592" t="str">
        <v>S/M</v>
      </c>
      <c r="L592">
        <v>0</v>
      </c>
    </row>
    <row r="593" spans="2:12" x14ac:dyDescent="0.25">
      <c r="B593">
        <v>45517</v>
      </c>
      <c r="C593" t="str">
        <v>LENCINA LUCILA</v>
      </c>
      <c r="D593">
        <v>83</v>
      </c>
      <c r="E593" t="str">
        <v>CESAR MEYNET</v>
      </c>
      <c r="F593" t="str">
        <v>GENUVARO</v>
      </c>
      <c r="G593" t="str">
        <v>PTR</v>
      </c>
      <c r="H593" t="str">
        <v>VILLALBA</v>
      </c>
      <c r="I593" t="str">
        <v>ACEPTADO</v>
      </c>
      <c r="J593" t="str">
        <v>PARANÁ</v>
      </c>
      <c r="K593" t="str">
        <v>PAMI</v>
      </c>
      <c r="L593">
        <v>0</v>
      </c>
    </row>
    <row r="594" spans="2:12" x14ac:dyDescent="0.25">
      <c r="B594">
        <v>45517</v>
      </c>
      <c r="C594" t="str">
        <v>KOBS JULIO</v>
      </c>
      <c r="D594">
        <v>56</v>
      </c>
      <c r="E594" t="str">
        <v>GARCIA VITOR</v>
      </c>
      <c r="F594">
        <v>0</v>
      </c>
      <c r="G594" t="str">
        <v>COTILO DOBLE MOVILIDAD CAB. 28 MET. VILL. ACEPTADA</v>
      </c>
      <c r="H594">
        <v>0</v>
      </c>
      <c r="I594" t="str">
        <v>ACEPTADO</v>
      </c>
      <c r="J594" t="str">
        <v>PARANÁ</v>
      </c>
      <c r="K594" t="str">
        <v>PAMI</v>
      </c>
      <c r="L594">
        <v>0</v>
      </c>
    </row>
    <row r="595" spans="2:12" x14ac:dyDescent="0.25">
      <c r="B595">
        <v>45518</v>
      </c>
      <c r="C595" t="str">
        <v>jacob omar</v>
      </c>
      <c r="D595">
        <v>0</v>
      </c>
      <c r="E595" t="str">
        <v>STOPELLO</v>
      </c>
      <c r="F595" t="str">
        <v>coxartrosis</v>
      </c>
      <c r="G595" t="str">
        <v>4 dosis de cemento</v>
      </c>
      <c r="H595">
        <v>0</v>
      </c>
      <c r="I595" t="str">
        <v>ACEPTADO</v>
      </c>
      <c r="J595" t="str">
        <v>PARANÁ</v>
      </c>
      <c r="K595" t="str">
        <v>PAMI</v>
      </c>
      <c r="L595">
        <v>0</v>
      </c>
    </row>
    <row r="596" spans="2:12" x14ac:dyDescent="0.25">
      <c r="B596">
        <v>45519</v>
      </c>
      <c r="C596" t="str">
        <v>QUIROGA ROSA</v>
      </c>
      <c r="D596">
        <v>52</v>
      </c>
      <c r="E596" t="str">
        <v>STOPELLO</v>
      </c>
      <c r="F596" t="str">
        <v>RTC</v>
      </c>
      <c r="G596" t="str">
        <v xml:space="preserve">PTC </v>
      </c>
      <c r="H596">
        <v>0</v>
      </c>
      <c r="I596" t="str">
        <v>ACEPTADO</v>
      </c>
      <c r="J596" t="str">
        <v>PARANÁ</v>
      </c>
      <c r="K596" t="str">
        <v>S/M</v>
      </c>
      <c r="L596">
        <v>0</v>
      </c>
    </row>
    <row r="597" spans="2:12" x14ac:dyDescent="0.25">
      <c r="B597">
        <v>45519</v>
      </c>
      <c r="C597" t="str">
        <v>ORTMANN LIDIA</v>
      </c>
      <c r="D597">
        <v>79</v>
      </c>
      <c r="E597" t="str">
        <v>COLLOMB</v>
      </c>
      <c r="F597" t="str">
        <v>FX MUÑECA</v>
      </c>
      <c r="G597" t="str">
        <v>PLACA DOBLE HD2,7/3,5 MM BL. VILLALBA</v>
      </c>
      <c r="H597" t="str">
        <v xml:space="preserve"> BL. VILLALBA</v>
      </c>
      <c r="I597" t="str">
        <v>ACEPTADO</v>
      </c>
      <c r="J597" t="str">
        <v>PARANÁ</v>
      </c>
      <c r="K597" t="str">
        <v>PAMI</v>
      </c>
      <c r="L597">
        <v>0</v>
      </c>
    </row>
    <row r="598" spans="2:12" x14ac:dyDescent="0.25">
      <c r="B598">
        <v>45520</v>
      </c>
      <c r="C598" t="str">
        <v>KLEM BRISA MAILEN</v>
      </c>
      <c r="D598">
        <v>15</v>
      </c>
      <c r="E598" t="str">
        <v xml:space="preserve">URANGA </v>
      </c>
      <c r="F598" t="str">
        <v>ARTROSIS DE CADERA B</v>
      </c>
      <c r="G598" t="str">
        <v>20 TORNILLOS 2 BARRAS POTENCIALES  ENFOCADOS</v>
      </c>
      <c r="H598">
        <v>0</v>
      </c>
      <c r="I598" t="str">
        <v>ACEPTADO</v>
      </c>
      <c r="J598" t="str">
        <v>PARANÁ</v>
      </c>
      <c r="K598" t="str">
        <v>S/M</v>
      </c>
      <c r="L598">
        <v>0</v>
      </c>
    </row>
    <row r="599" spans="2:12" x14ac:dyDescent="0.25">
      <c r="B599">
        <v>45523</v>
      </c>
      <c r="C599" t="str">
        <v>kobs julio</v>
      </c>
      <c r="D599">
        <v>56</v>
      </c>
      <c r="E599" t="str">
        <v>GARCIA VITOR</v>
      </c>
      <c r="F599" t="str">
        <v>LUXACION DE ART</v>
      </c>
      <c r="G599" t="str">
        <v>COTILO DOBLE  MOV</v>
      </c>
      <c r="H599">
        <v>0</v>
      </c>
      <c r="I599" t="str">
        <v>ACEPTADO</v>
      </c>
      <c r="J599" t="str">
        <v>CRESPO</v>
      </c>
      <c r="K599" t="str">
        <v>PAMI</v>
      </c>
      <c r="L599">
        <v>0</v>
      </c>
    </row>
    <row r="600" spans="2:12" x14ac:dyDescent="0.25">
      <c r="B600">
        <v>45523</v>
      </c>
      <c r="C600" t="str">
        <v>SPAHN ROBERTO</v>
      </c>
      <c r="D600">
        <v>44</v>
      </c>
      <c r="E600" t="str">
        <v xml:space="preserve">URANGA </v>
      </c>
      <c r="F600">
        <v>0</v>
      </c>
      <c r="G600" t="str">
        <v>XLIF AUTOBLOQUEADO CON TORNILLO</v>
      </c>
      <c r="H600">
        <v>0</v>
      </c>
      <c r="I600" t="str">
        <v>ACEPTADO</v>
      </c>
      <c r="J600" t="str">
        <v>ALDEA BRASILERA</v>
      </c>
      <c r="K600" t="str">
        <v>PAMI</v>
      </c>
      <c r="L600">
        <v>0</v>
      </c>
    </row>
    <row r="601" spans="2:12" x14ac:dyDescent="0.25">
      <c r="B601">
        <v>45523</v>
      </c>
      <c r="C601" t="str">
        <v>ORTMANN LIDIA</v>
      </c>
      <c r="D601">
        <v>79</v>
      </c>
      <c r="E601" t="str">
        <v>COLLOMB</v>
      </c>
      <c r="F601" t="str">
        <v>FX MUÑECA</v>
      </c>
      <c r="G601" t="str">
        <v>PLACA DOBLE HD2,7/3,5 MM BL. VILLALBA</v>
      </c>
      <c r="H601">
        <v>0</v>
      </c>
      <c r="I601" t="str">
        <v>ACEPTADO</v>
      </c>
      <c r="J601" t="str">
        <v>PARANÁ</v>
      </c>
      <c r="K601" t="str">
        <v>PAMI</v>
      </c>
      <c r="L601">
        <v>0</v>
      </c>
    </row>
    <row r="602" spans="2:12" x14ac:dyDescent="0.25">
      <c r="B602">
        <v>45523</v>
      </c>
      <c r="C602" t="str">
        <v>GERSTNER VICTORIA</v>
      </c>
      <c r="D602">
        <v>66</v>
      </c>
      <c r="E602" t="str">
        <v>STOPELLO</v>
      </c>
      <c r="F602" t="str">
        <v>coxartrosis</v>
      </c>
      <c r="G602" t="str">
        <v xml:space="preserve">PTC </v>
      </c>
      <c r="H602" t="str">
        <v>IP MAGNA</v>
      </c>
      <c r="I602" t="str">
        <v>ACEPTADO</v>
      </c>
      <c r="J602" t="str">
        <v>PARANÁ</v>
      </c>
      <c r="K602" t="str">
        <v>PAMI</v>
      </c>
      <c r="L602">
        <v>0</v>
      </c>
    </row>
    <row r="603" spans="2:12" x14ac:dyDescent="0.25">
      <c r="B603">
        <v>45527</v>
      </c>
      <c r="C603" t="str">
        <v>MOREIRA BEATRIZ</v>
      </c>
      <c r="D603">
        <v>71</v>
      </c>
      <c r="E603" t="str">
        <v>COLLOMB</v>
      </c>
      <c r="F603" t="str">
        <v>FX FEMUR IZQ</v>
      </c>
      <c r="G603" t="str">
        <v>CLA END RETRO DE FEMURR ACERROJADO</v>
      </c>
      <c r="H603">
        <v>0</v>
      </c>
      <c r="I603" t="str">
        <v>ACEPTADO</v>
      </c>
      <c r="J603" t="str">
        <v>PARANÁ</v>
      </c>
      <c r="K603" t="str">
        <v>PAMI</v>
      </c>
      <c r="L603">
        <v>0</v>
      </c>
    </row>
    <row r="604" spans="2:12" x14ac:dyDescent="0.25">
      <c r="B604">
        <v>45530</v>
      </c>
      <c r="C604" t="str">
        <v xml:space="preserve">PEREYRA LIDIA </v>
      </c>
      <c r="D604">
        <v>60</v>
      </c>
      <c r="E604" t="str">
        <v>YACOMO</v>
      </c>
      <c r="F604" t="str">
        <v>ARTROSIS DE CADERA B</v>
      </c>
      <c r="G604" t="str">
        <v xml:space="preserve"> PTC</v>
      </c>
      <c r="H604" t="str">
        <v>VILLALBA</v>
      </c>
      <c r="I604" t="str">
        <v>ACEPTADO</v>
      </c>
      <c r="J604" t="str">
        <v>PARANÁ</v>
      </c>
      <c r="K604" t="str">
        <v>PAMI</v>
      </c>
      <c r="L604">
        <v>0</v>
      </c>
    </row>
    <row r="605" spans="2:12" x14ac:dyDescent="0.25">
      <c r="B605">
        <v>45531</v>
      </c>
      <c r="C605" t="str">
        <v>MENDOZA ADELA</v>
      </c>
      <c r="D605">
        <v>86</v>
      </c>
      <c r="E605" t="str">
        <v>COLLOMB</v>
      </c>
      <c r="F605" t="str">
        <v xml:space="preserve">FX DE CADERA </v>
      </c>
      <c r="G605" t="str">
        <v>FX DE CADERA IZQ</v>
      </c>
      <c r="H605" t="str">
        <v>VILLALBA</v>
      </c>
      <c r="I605" t="str">
        <v>ACEPTADO</v>
      </c>
      <c r="J605" t="str">
        <v>PARANÁ</v>
      </c>
      <c r="K605" t="str">
        <v>PAMI</v>
      </c>
      <c r="L605">
        <v>0</v>
      </c>
    </row>
    <row r="606" spans="2:12" x14ac:dyDescent="0.25">
      <c r="B606">
        <v>45532</v>
      </c>
      <c r="C606" t="str">
        <v>AYALA MARIA</v>
      </c>
      <c r="D606">
        <v>30</v>
      </c>
      <c r="E606">
        <v>0</v>
      </c>
      <c r="F606" t="str">
        <v>LCA</v>
      </c>
      <c r="G606" t="str">
        <v>BOTON CORTICAL PARA REC LCA</v>
      </c>
      <c r="H606">
        <v>0</v>
      </c>
      <c r="I606" t="str">
        <v>ACEPTADO</v>
      </c>
      <c r="J606" t="str">
        <v>HASENKAMP</v>
      </c>
      <c r="K606" t="str">
        <v>S/M</v>
      </c>
      <c r="L606">
        <v>0</v>
      </c>
    </row>
    <row r="607" spans="2:12" x14ac:dyDescent="0.25">
      <c r="B607">
        <v>45534</v>
      </c>
      <c r="C607" t="str">
        <v>LONDERO MARIA</v>
      </c>
      <c r="D607">
        <v>83</v>
      </c>
      <c r="E607" t="str">
        <v>COLLOMB</v>
      </c>
      <c r="F607" t="str">
        <v>FX CADERA DERECHA</v>
      </c>
      <c r="G607" t="str">
        <v>PROTESIS THOMPSON</v>
      </c>
      <c r="H607" t="str">
        <v>VILLALBA</v>
      </c>
      <c r="I607" t="str">
        <v>ACEPTADO</v>
      </c>
      <c r="J607" t="str">
        <v>PARANÁ</v>
      </c>
      <c r="K607" t="str">
        <v>PAMI</v>
      </c>
      <c r="L607">
        <v>0</v>
      </c>
    </row>
    <row r="608" spans="2:12" x14ac:dyDescent="0.25">
      <c r="B608">
        <v>45534</v>
      </c>
      <c r="C608" t="str">
        <v>ALBORNOZ JORGE</v>
      </c>
      <c r="D608">
        <v>69</v>
      </c>
      <c r="E608" t="str">
        <v>COLLOMB</v>
      </c>
      <c r="F608" t="str">
        <v>FX CADERA DERECHA</v>
      </c>
      <c r="G608" t="str">
        <v>CLAVO GAMMA CORTO Y LARGO</v>
      </c>
      <c r="H608" t="str">
        <v>VILLALBA</v>
      </c>
      <c r="I608" t="str">
        <v>ACEPTADO</v>
      </c>
      <c r="J608" t="str">
        <v>PARANÁ</v>
      </c>
      <c r="K608" t="str">
        <v>PAMI</v>
      </c>
      <c r="L608">
        <v>0</v>
      </c>
    </row>
    <row r="609" spans="2:12" x14ac:dyDescent="0.25">
      <c r="B609">
        <v>45534</v>
      </c>
      <c r="C609" t="str">
        <v>ROJAS CELINA</v>
      </c>
      <c r="D609">
        <v>83</v>
      </c>
      <c r="E609" t="str">
        <v>GARCIA VITOR</v>
      </c>
      <c r="F609" t="str">
        <v>GONOARTROSIS</v>
      </c>
      <c r="G609" t="str">
        <v>REMPLAZO TOTAL RODILLA DER</v>
      </c>
      <c r="H609" t="str">
        <v>VILLALBA</v>
      </c>
      <c r="I609" t="str">
        <v>ACEPTADO</v>
      </c>
      <c r="J609" t="str">
        <v>PARANÁ</v>
      </c>
      <c r="K609" t="str">
        <v>PAMI</v>
      </c>
      <c r="L609">
        <v>0</v>
      </c>
    </row>
    <row r="610" spans="2:12" x14ac:dyDescent="0.25">
      <c r="B610">
        <v>45534</v>
      </c>
      <c r="C610" t="str">
        <v>RODRIGUEZ DORA</v>
      </c>
      <c r="D610">
        <v>77</v>
      </c>
      <c r="E610" t="str">
        <v>STOPELLO</v>
      </c>
      <c r="F610" t="str">
        <v>GONOARTROSIS</v>
      </c>
      <c r="G610" t="str">
        <v>PTC</v>
      </c>
      <c r="H610" t="str">
        <v>VILLALBA</v>
      </c>
      <c r="I610" t="str">
        <v>ACEPTADO</v>
      </c>
      <c r="J610" t="str">
        <v>PARANÁ</v>
      </c>
      <c r="K610" t="str">
        <v>PAMI</v>
      </c>
      <c r="L610">
        <v>0</v>
      </c>
    </row>
    <row r="611" spans="2:12" x14ac:dyDescent="0.25">
      <c r="B611">
        <v>45534</v>
      </c>
      <c r="C611" t="str">
        <v>CHAMOT KARINA</v>
      </c>
      <c r="D611">
        <v>56</v>
      </c>
      <c r="E611" t="str">
        <v>GARCIA VITOR</v>
      </c>
      <c r="F611" t="str">
        <v>OSTEONECROSIS</v>
      </c>
      <c r="G611" t="str">
        <v>PTC</v>
      </c>
      <c r="H611">
        <v>0</v>
      </c>
      <c r="I611" t="str">
        <v>ACEPTADO</v>
      </c>
      <c r="J611" t="str">
        <v>LA PAZ</v>
      </c>
      <c r="K611" t="str">
        <v>S/M</v>
      </c>
      <c r="L611">
        <v>0</v>
      </c>
    </row>
    <row r="612" spans="2:12" x14ac:dyDescent="0.25">
      <c r="B612">
        <v>45534</v>
      </c>
      <c r="C612" t="str">
        <v>KUNZI SEBASTIAN</v>
      </c>
      <c r="D612">
        <v>74</v>
      </c>
      <c r="E612" t="str">
        <v>VENTURI</v>
      </c>
      <c r="F612" t="str">
        <v>RUP MANG ROT</v>
      </c>
      <c r="G612" t="str">
        <v>2 ARP.</v>
      </c>
      <c r="H612" t="str">
        <v>VILLALBA</v>
      </c>
      <c r="I612" t="str">
        <v>ACEPTADO</v>
      </c>
      <c r="J612" t="str">
        <v>PARANÁ</v>
      </c>
      <c r="K612" t="str">
        <v>PAMI</v>
      </c>
      <c r="L612">
        <v>0</v>
      </c>
    </row>
    <row r="613" spans="2:12" x14ac:dyDescent="0.25">
      <c r="B613">
        <v>45536</v>
      </c>
      <c r="C613" t="str">
        <v>VALIENTE MARCELO</v>
      </c>
      <c r="D613">
        <v>26</v>
      </c>
      <c r="E613" t="str">
        <v>PELEGRINI</v>
      </c>
      <c r="F613" t="str">
        <v>RUP LCA</v>
      </c>
      <c r="G613" t="str">
        <v>BOT. CORT. 1 TORNILLO INTERFERENCIAL</v>
      </c>
      <c r="H613">
        <v>0</v>
      </c>
      <c r="I613" t="str">
        <v>ACEPTADO</v>
      </c>
      <c r="J613" t="str">
        <v>PARANÁ</v>
      </c>
      <c r="K613" t="str">
        <v>S/M</v>
      </c>
      <c r="L613">
        <v>0</v>
      </c>
    </row>
    <row r="614" spans="2:12" x14ac:dyDescent="0.25">
      <c r="B614">
        <v>45537</v>
      </c>
      <c r="C614" t="str">
        <v>RAMIREZ ROMAN</v>
      </c>
      <c r="D614">
        <v>43</v>
      </c>
      <c r="E614" t="str">
        <v>MERLINI</v>
      </c>
      <c r="F614" t="str">
        <v>FX 234 ,MTC DERECHA</v>
      </c>
      <c r="G614" t="str">
        <v>PL. 2 OMM BL. PL 2.7 BL. CLAV. 1.0 EL</v>
      </c>
      <c r="H614">
        <v>0</v>
      </c>
      <c r="I614" t="str">
        <v>ACEPTADO</v>
      </c>
      <c r="J614" t="str">
        <v>PARANÁ</v>
      </c>
      <c r="K614" t="str">
        <v>S/M</v>
      </c>
      <c r="L614">
        <v>0</v>
      </c>
    </row>
    <row r="615" spans="2:12" x14ac:dyDescent="0.25">
      <c r="B615">
        <v>45537</v>
      </c>
      <c r="C615" t="str">
        <v>TAISNER KAREN</v>
      </c>
      <c r="D615">
        <v>25</v>
      </c>
      <c r="E615" t="str">
        <v>MERLINI</v>
      </c>
      <c r="F615" t="str">
        <v>FX MUÑECA BI</v>
      </c>
      <c r="G615" t="str">
        <v>PL. DOBLE HI. DIS 3,5- 2,7 MM PL. DCP 3.5 BL.LC</v>
      </c>
      <c r="H615">
        <v>0</v>
      </c>
      <c r="I615" t="str">
        <v>ACEPTADO</v>
      </c>
      <c r="J615" t="str">
        <v>PARANÁ</v>
      </c>
      <c r="K615" t="str">
        <v>S/M</v>
      </c>
      <c r="L615">
        <v>0</v>
      </c>
    </row>
    <row r="616" spans="2:12" x14ac:dyDescent="0.25">
      <c r="B616">
        <v>45537</v>
      </c>
      <c r="C616" t="str">
        <v>LEHONARDT AZUCENA</v>
      </c>
      <c r="D616">
        <v>83</v>
      </c>
      <c r="E616">
        <v>0</v>
      </c>
      <c r="F616" t="str">
        <v xml:space="preserve">FX CADERA </v>
      </c>
      <c r="G616" t="str">
        <v>PROT THOMSON STE. HEMOSUCTOR</v>
      </c>
      <c r="H616" t="str">
        <v>VILLALBA</v>
      </c>
      <c r="I616" t="str">
        <v>ACEPTADO</v>
      </c>
      <c r="J616" t="str">
        <v>PARANÁ</v>
      </c>
      <c r="K616" t="str">
        <v>PAMI</v>
      </c>
      <c r="L616">
        <v>0</v>
      </c>
    </row>
    <row r="617" spans="2:12" x14ac:dyDescent="0.25">
      <c r="B617">
        <v>45538</v>
      </c>
      <c r="C617" t="str">
        <v>GONZALEZ SILVIA</v>
      </c>
      <c r="D617">
        <v>66</v>
      </c>
      <c r="E617">
        <v>0</v>
      </c>
      <c r="F617" t="str">
        <v>RODILLA</v>
      </c>
      <c r="G617" t="str">
        <v>1 DESTORNILLADOR PUN ESTRELLADA</v>
      </c>
      <c r="H617" t="str">
        <v>VILLALBA</v>
      </c>
      <c r="I617" t="str">
        <v>ACEPTADO</v>
      </c>
      <c r="J617" t="str">
        <v>SAN BENITO</v>
      </c>
      <c r="K617" t="str">
        <v>PAMI</v>
      </c>
      <c r="L617">
        <v>0</v>
      </c>
    </row>
    <row r="618" spans="2:12" x14ac:dyDescent="0.25">
      <c r="B618">
        <v>45539</v>
      </c>
      <c r="C618" t="str">
        <v>RETAMAL NILDA</v>
      </c>
      <c r="D618">
        <v>70</v>
      </c>
      <c r="E618">
        <v>0</v>
      </c>
      <c r="F618" t="str">
        <v>CONS VICIOSA VS RET, CON.</v>
      </c>
      <c r="G618" t="str">
        <v>1 CLAV. TIPO MULLER. CON SET MAS 1 NUEV CL GAMMA</v>
      </c>
      <c r="H618" t="str">
        <v>VILLALBA</v>
      </c>
      <c r="I618" t="str">
        <v>ACEPTADO</v>
      </c>
      <c r="J618" t="str">
        <v>PARANÁ</v>
      </c>
      <c r="K618" t="str">
        <v>PAMI</v>
      </c>
      <c r="L618">
        <v>0</v>
      </c>
    </row>
    <row r="619" spans="2:12" x14ac:dyDescent="0.25">
      <c r="B619">
        <v>45540</v>
      </c>
      <c r="C619" t="str">
        <v>IEDRO BARBARA</v>
      </c>
      <c r="D619">
        <v>41</v>
      </c>
      <c r="E619" t="str">
        <v>COLLOMB</v>
      </c>
      <c r="F619" t="str">
        <v>GONOARTROSIS DER E IZQ SEV</v>
      </c>
      <c r="G619" t="str">
        <v>SIS ROD CEM PTR, CON COMP FEM. CR 12 TALLAS</v>
      </c>
      <c r="H619">
        <v>0</v>
      </c>
      <c r="I619" t="str">
        <v>ACEPTADO</v>
      </c>
      <c r="J619" t="str">
        <v>PARANÁ</v>
      </c>
      <c r="K619" t="str">
        <v>S/M</v>
      </c>
      <c r="L619">
        <v>0</v>
      </c>
    </row>
    <row r="620" spans="2:12" x14ac:dyDescent="0.25">
      <c r="B620">
        <v>45541</v>
      </c>
      <c r="C620" t="str">
        <v>DEMUTTE BEATRIZ</v>
      </c>
      <c r="D620">
        <v>70</v>
      </c>
      <c r="E620">
        <v>0</v>
      </c>
      <c r="F620" t="str">
        <v>CANAL ESTRECHO</v>
      </c>
      <c r="G620" t="str">
        <v>SIS DE FIJACION COL. 5 NIV. 10 TOR PED</v>
      </c>
      <c r="H620">
        <v>0</v>
      </c>
      <c r="I620" t="str">
        <v>ACEPTADO</v>
      </c>
      <c r="J620" t="str">
        <v>PARANÁ</v>
      </c>
      <c r="K620" t="str">
        <v>PAMI</v>
      </c>
      <c r="L620">
        <v>0</v>
      </c>
    </row>
    <row r="621" spans="2:12" x14ac:dyDescent="0.25">
      <c r="B621">
        <v>45541</v>
      </c>
      <c r="C621" t="str">
        <v xml:space="preserve">IGLESIAS NEYEN </v>
      </c>
      <c r="D621">
        <v>0</v>
      </c>
      <c r="E621" t="str">
        <v>MERLINI</v>
      </c>
      <c r="F621" t="str">
        <v>FX CLAVICULA IZQUIERDA</v>
      </c>
      <c r="G621" t="str">
        <v>PLACA ANATOMICA BLOQ. 3.</v>
      </c>
      <c r="H621">
        <v>0</v>
      </c>
      <c r="I621" t="str">
        <v>ACEPTADO</v>
      </c>
      <c r="J621">
        <v>0</v>
      </c>
      <c r="K621" t="str">
        <v>S/M</v>
      </c>
      <c r="L621">
        <v>0</v>
      </c>
    </row>
    <row r="622" spans="2:12" x14ac:dyDescent="0.25">
      <c r="B622">
        <v>45545</v>
      </c>
      <c r="C622" t="str">
        <v>VENECIO URSULA</v>
      </c>
      <c r="D622">
        <v>28</v>
      </c>
      <c r="E622" t="str">
        <v>VENTURI</v>
      </c>
      <c r="F622" t="str">
        <v>LCA</v>
      </c>
      <c r="G622" t="str">
        <v>ENDOBOTTON TORNILLO INTER</v>
      </c>
      <c r="H622">
        <v>0</v>
      </c>
      <c r="I622" t="str">
        <v>ACEPTADO</v>
      </c>
      <c r="J622" t="str">
        <v>PARANÁ</v>
      </c>
      <c r="K622" t="str">
        <v>S/M</v>
      </c>
      <c r="L622">
        <v>0</v>
      </c>
    </row>
    <row r="623" spans="2:12" x14ac:dyDescent="0.25">
      <c r="B623">
        <v>45545</v>
      </c>
      <c r="C623" t="str">
        <v>ORZUZA SANTIAGO</v>
      </c>
      <c r="D623">
        <v>23</v>
      </c>
      <c r="E623" t="str">
        <v>VENTURI</v>
      </c>
      <c r="F623" t="str">
        <v xml:space="preserve">FX MUÑECA </v>
      </c>
      <c r="G623" t="str">
        <v>1 PLACA DOBLE HILERA T 2,7- 3,5</v>
      </c>
      <c r="H623">
        <v>0</v>
      </c>
      <c r="I623" t="str">
        <v>ACEPTADO</v>
      </c>
      <c r="J623" t="str">
        <v>PARANÁ</v>
      </c>
      <c r="K623" t="str">
        <v>S/M</v>
      </c>
      <c r="L623">
        <v>0</v>
      </c>
    </row>
    <row r="624" spans="2:12" x14ac:dyDescent="0.25">
      <c r="B624">
        <v>45548</v>
      </c>
      <c r="C624" t="str">
        <v>CHIMENTO MERCEDES</v>
      </c>
      <c r="D624">
        <v>71</v>
      </c>
      <c r="E624" t="str">
        <v>YACOMO</v>
      </c>
      <c r="F624" t="str">
        <v>GONATROSIS</v>
      </c>
      <c r="G624" t="str">
        <v>PTR CEMENTADA CON VASTAGOS</v>
      </c>
      <c r="H624">
        <v>0</v>
      </c>
      <c r="I624" t="str">
        <v>ACEPTADO</v>
      </c>
      <c r="J624" t="str">
        <v>PARANÁ</v>
      </c>
      <c r="K624" t="str">
        <v>PAMI</v>
      </c>
      <c r="L624">
        <v>0</v>
      </c>
    </row>
    <row r="625" spans="2:12" x14ac:dyDescent="0.25">
      <c r="B625">
        <v>45551</v>
      </c>
      <c r="C625" t="str">
        <v>YACOB ERCILIA</v>
      </c>
      <c r="D625">
        <v>0</v>
      </c>
      <c r="E625" t="str">
        <v>MERLINI</v>
      </c>
      <c r="F625" t="str">
        <v>COXARTROSIS</v>
      </c>
      <c r="G625" t="str">
        <v>1 ESPACIADOR</v>
      </c>
      <c r="H625">
        <v>0</v>
      </c>
      <c r="I625" t="str">
        <v>ACEPTADO</v>
      </c>
      <c r="J625" t="str">
        <v>PARANÁ</v>
      </c>
      <c r="K625" t="str">
        <v>PAMI</v>
      </c>
      <c r="L625">
        <v>0</v>
      </c>
    </row>
    <row r="626" spans="2:12" x14ac:dyDescent="0.25">
      <c r="B626">
        <v>45552</v>
      </c>
      <c r="C626" t="str">
        <v>MACIEL HUMBERTO</v>
      </c>
      <c r="D626">
        <v>72</v>
      </c>
      <c r="E626" t="str">
        <v>YACOMO</v>
      </c>
      <c r="F626" t="str">
        <v>GONARTROSIS</v>
      </c>
      <c r="G626" t="str">
        <v>PROTESIS DE RODILLA</v>
      </c>
      <c r="H626" t="str">
        <v>VILLALBA</v>
      </c>
      <c r="I626" t="str">
        <v>ACEPTADO</v>
      </c>
      <c r="J626" t="str">
        <v>TABOSSI</v>
      </c>
      <c r="K626" t="str">
        <v>PAMI</v>
      </c>
      <c r="L626">
        <v>0</v>
      </c>
    </row>
    <row r="627" spans="2:12" x14ac:dyDescent="0.25">
      <c r="B627">
        <v>45552</v>
      </c>
      <c r="C627" t="str">
        <v>SOLARO ELSA</v>
      </c>
      <c r="D627">
        <v>79</v>
      </c>
      <c r="E627" t="str">
        <v>GARCIA VITOR</v>
      </c>
      <c r="F627" t="str">
        <v>ARTROSIS DE CADERA</v>
      </c>
      <c r="G627" t="str">
        <v>PTC COTILO DOBLE MOVILIDAD</v>
      </c>
      <c r="H627">
        <v>0</v>
      </c>
      <c r="I627" t="str">
        <v>ACEPTADO</v>
      </c>
      <c r="J627" t="str">
        <v>PARANÁ</v>
      </c>
      <c r="K627" t="str">
        <v>PAMI</v>
      </c>
      <c r="L627">
        <v>0</v>
      </c>
    </row>
    <row r="628" spans="2:12" x14ac:dyDescent="0.25">
      <c r="B628">
        <v>45553</v>
      </c>
      <c r="C628" t="str">
        <v>KRIVUSESKI LIDIA</v>
      </c>
      <c r="D628">
        <v>74</v>
      </c>
      <c r="E628" t="str">
        <v>CATRIEL GODOY</v>
      </c>
      <c r="F628" t="str">
        <v>RUPTURA DE MAANGUIT</v>
      </c>
      <c r="G628" t="str">
        <v>2 ARPONES 5,0 2 ARPONES 2,5</v>
      </c>
      <c r="H628">
        <v>0</v>
      </c>
      <c r="I628" t="str">
        <v>ACEPTADO</v>
      </c>
      <c r="J628" t="str">
        <v>PARANÁ</v>
      </c>
      <c r="K628" t="str">
        <v>PAMI</v>
      </c>
      <c r="L628">
        <v>0</v>
      </c>
    </row>
    <row r="629" spans="2:12" x14ac:dyDescent="0.25">
      <c r="B629">
        <v>45553</v>
      </c>
      <c r="C629" t="str">
        <v>MENDOZA ISABEL</v>
      </c>
      <c r="D629">
        <v>61</v>
      </c>
      <c r="E629" t="str">
        <v>MERLINI</v>
      </c>
      <c r="F629" t="str">
        <v>FX MUÑECA</v>
      </c>
      <c r="G629" t="str">
        <v>PLACA EDR BLOQUEADA</v>
      </c>
      <c r="H629">
        <v>0</v>
      </c>
      <c r="I629" t="str">
        <v>ACEPTADO</v>
      </c>
      <c r="J629" t="str">
        <v>PARANÁ</v>
      </c>
      <c r="K629" t="str">
        <v>PAMI</v>
      </c>
      <c r="L629">
        <v>0</v>
      </c>
    </row>
    <row r="630" spans="2:12" x14ac:dyDescent="0.25">
      <c r="B630">
        <v>45553</v>
      </c>
      <c r="C630" t="str">
        <v>GOMEZ LUIS ALBERTO</v>
      </c>
      <c r="D630">
        <v>77</v>
      </c>
      <c r="E630" t="str">
        <v>SUKSDORF</v>
      </c>
      <c r="F630" t="str">
        <v>GONARTROSIS</v>
      </c>
      <c r="G630" t="str">
        <v>PTR ANATOMICA</v>
      </c>
      <c r="H630">
        <v>0</v>
      </c>
      <c r="I630" t="str">
        <v>ACEPTADO</v>
      </c>
      <c r="J630" t="str">
        <v>PARANÁ</v>
      </c>
      <c r="K630" t="str">
        <v>PAMI</v>
      </c>
      <c r="L630">
        <v>0</v>
      </c>
    </row>
    <row r="631" spans="2:12" x14ac:dyDescent="0.25">
      <c r="B631">
        <v>45553</v>
      </c>
      <c r="C631" t="str">
        <v>MENA ISIDORO</v>
      </c>
      <c r="D631">
        <v>61</v>
      </c>
      <c r="E631" t="str">
        <v>CESAR MEYNET</v>
      </c>
      <c r="F631" t="str">
        <v>AFLOJAMIENTO DE REVISION</v>
      </c>
      <c r="G631" t="str">
        <v>1 TALLO FEMORAL DE FIJ 1 COTILO NO CEMENTADO 4 UNID DE IJERTO</v>
      </c>
      <c r="H631">
        <v>0</v>
      </c>
      <c r="I631" t="str">
        <v>ACEPTADO</v>
      </c>
      <c r="J631" t="str">
        <v xml:space="preserve">MARIA GRANDE </v>
      </c>
      <c r="K631" t="str">
        <v>S/M</v>
      </c>
      <c r="L631">
        <v>0</v>
      </c>
    </row>
    <row r="632" spans="2:12" x14ac:dyDescent="0.25">
      <c r="B632">
        <v>45554</v>
      </c>
      <c r="C632" t="str">
        <v>sanchez Juan Pablo</v>
      </c>
      <c r="D632">
        <v>15</v>
      </c>
      <c r="E632" t="str">
        <v>UCEDO</v>
      </c>
      <c r="F632" t="str">
        <v>pie equino</v>
      </c>
      <c r="G632" t="str">
        <v>2 set de placas 4 tornillos canulados</v>
      </c>
      <c r="H632">
        <v>0</v>
      </c>
      <c r="I632" t="str">
        <v>ACEPTADO</v>
      </c>
      <c r="J632" t="str">
        <v xml:space="preserve">SANTA ELENA </v>
      </c>
      <c r="K632" t="str">
        <v>S/M</v>
      </c>
      <c r="L632">
        <v>0</v>
      </c>
    </row>
    <row r="633" spans="2:12" x14ac:dyDescent="0.25">
      <c r="B633">
        <v>45559</v>
      </c>
      <c r="C633" t="str">
        <v>ESPINDOLA DANIELA</v>
      </c>
      <c r="D633">
        <v>36</v>
      </c>
      <c r="E633" t="str">
        <v>GARCIA VITOR</v>
      </c>
      <c r="F633" t="str">
        <v xml:space="preserve">OSTEOSINTESIS </v>
      </c>
      <c r="G633" t="str">
        <v>1 EXTRACTOR DE CLAVO</v>
      </c>
      <c r="H633">
        <v>0</v>
      </c>
      <c r="I633" t="str">
        <v>ACEPTADO</v>
      </c>
      <c r="J633" t="str">
        <v>PARANÁ</v>
      </c>
      <c r="K633" t="str">
        <v>S/M</v>
      </c>
      <c r="L633">
        <v>0</v>
      </c>
    </row>
    <row r="634" spans="2:12" x14ac:dyDescent="0.25">
      <c r="B634">
        <v>45559</v>
      </c>
      <c r="C634" t="str">
        <v>DA LUZ ROSA</v>
      </c>
      <c r="D634">
        <v>75</v>
      </c>
      <c r="E634" t="str">
        <v>SUKSDORF</v>
      </c>
      <c r="F634" t="str">
        <v>COXARTROSIS</v>
      </c>
      <c r="G634" t="str">
        <v>PTC COTILO DOBLE MOVILIDAD</v>
      </c>
      <c r="H634">
        <v>0</v>
      </c>
      <c r="I634" t="str">
        <v>ACEPTADO</v>
      </c>
      <c r="J634" t="str">
        <v>PARANÁ</v>
      </c>
      <c r="K634" t="str">
        <v>PAMI</v>
      </c>
      <c r="L634">
        <v>0</v>
      </c>
    </row>
    <row r="635" spans="2:12" x14ac:dyDescent="0.25">
      <c r="B635">
        <v>45560</v>
      </c>
      <c r="C635" t="str">
        <v>RUEDA RAMON</v>
      </c>
      <c r="D635">
        <v>48</v>
      </c>
      <c r="E635" t="str">
        <v xml:space="preserve">HERMIDA </v>
      </c>
      <c r="F635" t="str">
        <v>RUP MANGUITO ROT</v>
      </c>
      <c r="G635" t="str">
        <v>3 ARPONES 3,5</v>
      </c>
      <c r="H635">
        <v>0</v>
      </c>
      <c r="I635" t="str">
        <v>ACEPTADO</v>
      </c>
      <c r="J635" t="str">
        <v>VILLAGUAY</v>
      </c>
      <c r="K635" t="str">
        <v>S/M</v>
      </c>
      <c r="L635">
        <v>0</v>
      </c>
    </row>
    <row r="636" spans="2:12" x14ac:dyDescent="0.25">
      <c r="B636">
        <v>45560</v>
      </c>
      <c r="C636" t="str">
        <v>ALARCON VERONICA</v>
      </c>
      <c r="D636">
        <v>29</v>
      </c>
      <c r="E636" t="str">
        <v xml:space="preserve">HERMIDA </v>
      </c>
      <c r="F636" t="str">
        <v>LCA</v>
      </c>
      <c r="G636" t="str">
        <v>1 TORNILLO 1 BOTON</v>
      </c>
      <c r="H636">
        <v>0</v>
      </c>
      <c r="I636" t="str">
        <v>ACEPTADO</v>
      </c>
      <c r="J636" t="str">
        <v>HASENKAMP</v>
      </c>
      <c r="K636" t="str">
        <v>S/M</v>
      </c>
      <c r="L636">
        <v>0</v>
      </c>
    </row>
    <row r="637" spans="2:12" x14ac:dyDescent="0.25">
      <c r="B637">
        <v>45560</v>
      </c>
      <c r="C637" t="str">
        <v>ELLENA LINDA ABRIL</v>
      </c>
      <c r="D637">
        <v>82</v>
      </c>
      <c r="E637" t="str">
        <v>CASERES</v>
      </c>
      <c r="F637" t="str">
        <v xml:space="preserve">FX CADERA </v>
      </c>
      <c r="G637" t="str">
        <v>CLAVO GAMMA CORTO Y LARGO</v>
      </c>
      <c r="H637">
        <v>0</v>
      </c>
      <c r="I637" t="str">
        <v>ACEPTADO</v>
      </c>
      <c r="J637" t="str">
        <v>PARANÁ</v>
      </c>
      <c r="K637" t="str">
        <v>PAMI</v>
      </c>
      <c r="L637">
        <v>0</v>
      </c>
    </row>
    <row r="638" spans="2:12" x14ac:dyDescent="0.25">
      <c r="B638">
        <v>45560</v>
      </c>
      <c r="C638" t="str">
        <v>MAQUIAVELLO MARIO</v>
      </c>
      <c r="D638">
        <v>67</v>
      </c>
      <c r="E638" t="str">
        <v>CATRIEL GODOY</v>
      </c>
      <c r="F638" t="str">
        <v>SME MANGUITO ROT</v>
      </c>
      <c r="G638" t="str">
        <v>2 ARPONES 5, 0 1 SUTURA DE ALTA RESIST</v>
      </c>
      <c r="H638">
        <v>0</v>
      </c>
      <c r="I638" t="str">
        <v>ACEPTADO</v>
      </c>
      <c r="J638" t="str">
        <v>PARANÁ</v>
      </c>
      <c r="K638" t="str">
        <v>PAMI</v>
      </c>
      <c r="L638">
        <v>0</v>
      </c>
    </row>
    <row r="639" spans="2:12" x14ac:dyDescent="0.25">
      <c r="B639">
        <v>45560</v>
      </c>
      <c r="C639" t="str">
        <v xml:space="preserve">GOTTIG PEDRO </v>
      </c>
      <c r="D639">
        <v>76</v>
      </c>
      <c r="E639" t="str">
        <v>MERLINI</v>
      </c>
      <c r="F639" t="str">
        <v>FX CADERA IZ</v>
      </c>
      <c r="G639" t="str">
        <v xml:space="preserve">PTC     </v>
      </c>
      <c r="H639">
        <v>0</v>
      </c>
      <c r="I639" t="str">
        <v>ACEPTADO</v>
      </c>
      <c r="J639" t="str">
        <v>PARANÁ</v>
      </c>
      <c r="K639" t="str">
        <v>PAMI</v>
      </c>
      <c r="L639">
        <v>0</v>
      </c>
    </row>
    <row r="640" spans="2:12" x14ac:dyDescent="0.25">
      <c r="B640">
        <v>45562</v>
      </c>
      <c r="C640" t="str">
        <v>Monzon Diego</v>
      </c>
      <c r="D640">
        <v>38</v>
      </c>
      <c r="E640" t="str">
        <v>YACOMO</v>
      </c>
      <c r="F640" t="str">
        <v>LCA</v>
      </c>
      <c r="G640" t="str">
        <v>1 BOTON 1 TORNILLO</v>
      </c>
      <c r="H640">
        <v>0</v>
      </c>
      <c r="I640" t="str">
        <v>ACEPTADO</v>
      </c>
      <c r="J640" t="str">
        <v>PARANÁ</v>
      </c>
      <c r="K640" t="str">
        <v>S/M</v>
      </c>
      <c r="L640">
        <v>0</v>
      </c>
    </row>
    <row r="641" spans="2:12" x14ac:dyDescent="0.25">
      <c r="B641">
        <v>45565</v>
      </c>
      <c r="C641" t="str">
        <v>Rodriguez Silvana</v>
      </c>
      <c r="D641">
        <v>71</v>
      </c>
      <c r="E641" t="str">
        <v>CASERES</v>
      </c>
      <c r="F641" t="str">
        <v>fx adera</v>
      </c>
      <c r="G641" t="str">
        <v>CLAVO GAMMA CORTO Y LARGO</v>
      </c>
      <c r="H641">
        <v>0</v>
      </c>
      <c r="I641" t="str">
        <v>ACEPTADO</v>
      </c>
      <c r="J641" t="str">
        <v>Paraná</v>
      </c>
      <c r="K641" t="str">
        <v>PAMI</v>
      </c>
      <c r="L641">
        <v>0</v>
      </c>
    </row>
    <row r="642" spans="2:12" x14ac:dyDescent="0.25">
      <c r="B642">
        <v>45565</v>
      </c>
      <c r="C642" t="str">
        <v>Allende Juan Ramon</v>
      </c>
      <c r="D642">
        <v>54</v>
      </c>
      <c r="E642" t="str">
        <v>STOPELLO</v>
      </c>
      <c r="F642">
        <v>0</v>
      </c>
      <c r="G642" t="str">
        <v>anillo de burch reemplazo de cadera de rev</v>
      </c>
      <c r="H642">
        <v>0</v>
      </c>
      <c r="I642" t="str">
        <v>ACEPTADO</v>
      </c>
      <c r="J642" t="str">
        <v>SAUCE DE LUNA</v>
      </c>
      <c r="K642" t="str">
        <v>PAMI</v>
      </c>
      <c r="L642" t="str">
        <v xml:space="preserve">  </v>
      </c>
    </row>
    <row r="643" spans="2:12" x14ac:dyDescent="0.25">
      <c r="B643">
        <v>45566</v>
      </c>
      <c r="C643" t="str">
        <v>Erbes Nelida</v>
      </c>
      <c r="D643">
        <v>66</v>
      </c>
      <c r="E643" t="str">
        <v>UCEDO</v>
      </c>
      <c r="F643" t="str">
        <v>HALLUX VALGUS</v>
      </c>
      <c r="G643" t="str">
        <v>1 T HERBERT 2,7 Y 3 MM 2 CLAVIJAS 2MM Y DOS 1MM</v>
      </c>
      <c r="H643">
        <v>0</v>
      </c>
      <c r="I643" t="str">
        <v>ACEPTADO</v>
      </c>
      <c r="J643" t="str">
        <v>PARANÁ</v>
      </c>
      <c r="K643" t="str">
        <v>S/M</v>
      </c>
      <c r="L643">
        <v>0</v>
      </c>
    </row>
    <row r="644" spans="2:12" x14ac:dyDescent="0.25">
      <c r="B644">
        <v>45566</v>
      </c>
      <c r="C644" t="str">
        <v>Charpentier  LILIANA</v>
      </c>
      <c r="D644">
        <v>44</v>
      </c>
      <c r="E644" t="str">
        <v>GARCIA VITOR</v>
      </c>
      <c r="F644" t="str">
        <v xml:space="preserve">GENU VARO </v>
      </c>
      <c r="G644" t="str">
        <v>PLACA PUDDU</v>
      </c>
      <c r="H644">
        <v>0</v>
      </c>
      <c r="I644" t="str">
        <v>ACEPTADO</v>
      </c>
      <c r="J644" t="str">
        <v>VICTORIA</v>
      </c>
      <c r="K644" t="str">
        <v>S/M</v>
      </c>
      <c r="L644">
        <v>0</v>
      </c>
    </row>
    <row r="645" spans="2:12" x14ac:dyDescent="0.25">
      <c r="B645">
        <v>45566</v>
      </c>
      <c r="C645" t="str">
        <v xml:space="preserve">URSINI AGUEDA </v>
      </c>
      <c r="D645">
        <v>68</v>
      </c>
      <c r="E645" t="str">
        <v>GARCIA VITOR</v>
      </c>
      <c r="F645" t="str">
        <v>OSTEOARTRITIS</v>
      </c>
      <c r="G645" t="str">
        <v>PTC HIBRIDA</v>
      </c>
      <c r="H645">
        <v>0</v>
      </c>
      <c r="I645" t="str">
        <v>ACEPTADO</v>
      </c>
      <c r="J645" t="str">
        <v>PARANÁ</v>
      </c>
      <c r="K645" t="str">
        <v>PAMI</v>
      </c>
      <c r="L645">
        <v>0</v>
      </c>
    </row>
    <row r="646" spans="2:12" x14ac:dyDescent="0.25">
      <c r="B646">
        <v>45567</v>
      </c>
      <c r="C646" t="str">
        <v xml:space="preserve">GEIST NORMA </v>
      </c>
      <c r="D646">
        <v>74</v>
      </c>
      <c r="E646" t="str">
        <v>GARCIA VITOR</v>
      </c>
      <c r="F646" t="str">
        <v>GONATROSIS</v>
      </c>
      <c r="G646" t="str">
        <v>PTR</v>
      </c>
      <c r="H646">
        <v>0</v>
      </c>
      <c r="I646" t="str">
        <v>ACEPTADO</v>
      </c>
      <c r="J646" t="str">
        <v>PARANÁ</v>
      </c>
      <c r="K646" t="str">
        <v>PAMI</v>
      </c>
      <c r="L646">
        <v>0</v>
      </c>
    </row>
    <row r="647" spans="2:12" x14ac:dyDescent="0.25">
      <c r="B647">
        <v>45567</v>
      </c>
      <c r="C647" t="str">
        <v>RIOS MARIA</v>
      </c>
      <c r="D647">
        <v>83</v>
      </c>
      <c r="E647" t="str">
        <v>CASERES</v>
      </c>
      <c r="F647" t="str">
        <v>FX FEMUR</v>
      </c>
      <c r="G647" t="str">
        <v>CLAVO ENDOMEDULAR RETROGRADO DE F</v>
      </c>
      <c r="H647">
        <v>0</v>
      </c>
      <c r="I647" t="str">
        <v>ACEPTADO</v>
      </c>
      <c r="J647" t="str">
        <v>PARANÁ</v>
      </c>
      <c r="K647" t="str">
        <v>PAMI</v>
      </c>
      <c r="L647">
        <v>0</v>
      </c>
    </row>
    <row r="648" spans="2:12" x14ac:dyDescent="0.25">
      <c r="B648">
        <v>45567</v>
      </c>
      <c r="C648" t="str">
        <v>SCHMLER ROSALIA</v>
      </c>
      <c r="D648">
        <v>66</v>
      </c>
      <c r="E648" t="str">
        <v xml:space="preserve">URANGA </v>
      </c>
      <c r="F648" t="str">
        <v xml:space="preserve">FX HUMERO </v>
      </c>
      <c r="G648" t="str">
        <v>CLAVO ENDOMEDULAR DE HUMERO</v>
      </c>
      <c r="H648">
        <v>0</v>
      </c>
      <c r="I648" t="str">
        <v>ACEPTADO</v>
      </c>
      <c r="J648" t="str">
        <v>PARANÁ</v>
      </c>
      <c r="K648" t="str">
        <v>PAMI</v>
      </c>
      <c r="L648">
        <v>0</v>
      </c>
    </row>
    <row r="649" spans="2:12" x14ac:dyDescent="0.25">
      <c r="B649">
        <v>45567</v>
      </c>
      <c r="C649" t="str">
        <v>SLOMP KARINA</v>
      </c>
      <c r="D649">
        <v>54</v>
      </c>
      <c r="E649" t="str">
        <v>STOPELLO</v>
      </c>
      <c r="F649" t="str">
        <v xml:space="preserve">ARTROSIS DE CADERA </v>
      </c>
      <c r="G649" t="str">
        <v xml:space="preserve"> PTC NO CEMENTAADA</v>
      </c>
      <c r="H649">
        <v>0</v>
      </c>
      <c r="I649" t="str">
        <v>ACEPTADO</v>
      </c>
      <c r="J649" t="str">
        <v>LA PAZ</v>
      </c>
      <c r="K649" t="str">
        <v>PAMI</v>
      </c>
      <c r="L649">
        <v>0</v>
      </c>
    </row>
    <row r="650" spans="2:12" x14ac:dyDescent="0.25">
      <c r="B650">
        <v>45568</v>
      </c>
      <c r="C650" t="str">
        <v>MARTINEZ TOMASA</v>
      </c>
      <c r="D650">
        <v>68</v>
      </c>
      <c r="E650" t="str">
        <v>GARCIA VITOR</v>
      </c>
      <c r="F650" t="str">
        <v xml:space="preserve">ARTROSIS DE CADERA </v>
      </c>
      <c r="G650" t="str">
        <v xml:space="preserve"> PTC HIBRIDA</v>
      </c>
      <c r="H650">
        <v>0</v>
      </c>
      <c r="I650" t="str">
        <v>ACEPTADO</v>
      </c>
      <c r="J650" t="str">
        <v>PARANÁ</v>
      </c>
      <c r="K650" t="str">
        <v>PAMI</v>
      </c>
      <c r="L650">
        <v>0</v>
      </c>
    </row>
    <row r="651" spans="2:12" x14ac:dyDescent="0.25">
      <c r="B651">
        <v>45568</v>
      </c>
      <c r="C651" t="str">
        <v>CURVALE GRACIELA</v>
      </c>
      <c r="D651">
        <v>72</v>
      </c>
      <c r="E651" t="str">
        <v>CESAR MEYNET</v>
      </c>
      <c r="F651" t="str">
        <v>GENU VARO</v>
      </c>
      <c r="G651" t="str">
        <v>PTR ABISAGRADA</v>
      </c>
      <c r="H651">
        <v>0</v>
      </c>
      <c r="I651" t="str">
        <v>ACEPTADO</v>
      </c>
      <c r="J651" t="str">
        <v>PARANÁ</v>
      </c>
      <c r="K651" t="str">
        <v>PAMI</v>
      </c>
      <c r="L651">
        <v>0</v>
      </c>
    </row>
    <row r="652" spans="2:12" x14ac:dyDescent="0.25">
      <c r="B652">
        <v>45568</v>
      </c>
      <c r="C652" t="str">
        <v>ALVAREZ MARIA</v>
      </c>
      <c r="D652">
        <v>70</v>
      </c>
      <c r="E652" t="str">
        <v>GARCIA VITOR</v>
      </c>
      <c r="F652" t="str">
        <v>GONARTROSIS</v>
      </c>
      <c r="G652" t="str">
        <v>PTR</v>
      </c>
      <c r="H652">
        <v>0</v>
      </c>
      <c r="I652" t="str">
        <v>ACEPTADO</v>
      </c>
      <c r="J652" t="str">
        <v>PARANÁ</v>
      </c>
      <c r="K652" t="str">
        <v>PAMI</v>
      </c>
      <c r="L652">
        <v>0</v>
      </c>
    </row>
    <row r="653" spans="2:12" x14ac:dyDescent="0.25">
      <c r="B653">
        <v>45569</v>
      </c>
      <c r="C653" t="str">
        <v>NETTO RAMON</v>
      </c>
      <c r="D653">
        <v>78</v>
      </c>
      <c r="E653" t="str">
        <v>SUKSDORF</v>
      </c>
      <c r="F653" t="str">
        <v>COXARTROSIS</v>
      </c>
      <c r="G653" t="str">
        <v>PTC HIBRIDA</v>
      </c>
      <c r="H653">
        <v>0</v>
      </c>
      <c r="I653" t="str">
        <v>ACEPTADO</v>
      </c>
      <c r="J653" t="str">
        <v>PARANÁ</v>
      </c>
      <c r="K653" t="str">
        <v>PAMI</v>
      </c>
      <c r="L653">
        <v>0</v>
      </c>
    </row>
    <row r="654" spans="2:12" x14ac:dyDescent="0.25">
      <c r="B654">
        <v>45569</v>
      </c>
      <c r="C654" t="str">
        <v>KEMMERER MARIA</v>
      </c>
      <c r="D654">
        <v>72</v>
      </c>
      <c r="E654" t="str">
        <v>GARCIA VITOR</v>
      </c>
      <c r="F654" t="str">
        <v>GENU VARO</v>
      </c>
      <c r="G654" t="str">
        <v>PTR IZQUIERDA</v>
      </c>
      <c r="H654">
        <v>0</v>
      </c>
      <c r="I654" t="str">
        <v>ACEPTADO</v>
      </c>
      <c r="J654" t="str">
        <v>PARANÁ</v>
      </c>
      <c r="K654" t="str">
        <v>PAMI</v>
      </c>
      <c r="L654">
        <v>0</v>
      </c>
    </row>
    <row r="655" spans="2:12" x14ac:dyDescent="0.25">
      <c r="B655">
        <v>45569</v>
      </c>
      <c r="C655" t="str">
        <v>TORTUL GRACIELA</v>
      </c>
      <c r="D655">
        <v>69</v>
      </c>
      <c r="E655" t="str">
        <v>GARCIA VITOR</v>
      </c>
      <c r="F655" t="str">
        <v>PSEUDOARTROSIS</v>
      </c>
      <c r="G655" t="str">
        <v>PLACA CONDILEA PLACA RECONS CLAVO RETROGRADO</v>
      </c>
      <c r="H655">
        <v>0</v>
      </c>
      <c r="I655" t="str">
        <v>ACEPTADO</v>
      </c>
      <c r="J655" t="str">
        <v>PARANÁ</v>
      </c>
      <c r="K655" t="str">
        <v>PAMI</v>
      </c>
      <c r="L655">
        <v>0</v>
      </c>
    </row>
    <row r="656" spans="2:12" x14ac:dyDescent="0.25">
      <c r="B656">
        <v>45574</v>
      </c>
      <c r="C656" t="str">
        <v>IBARRA MARIA</v>
      </c>
      <c r="D656">
        <v>72</v>
      </c>
      <c r="E656" t="str">
        <v>MERLINI</v>
      </c>
      <c r="F656" t="str">
        <v>FX MUÑECA</v>
      </c>
      <c r="G656" t="str">
        <v>PLACA DOBLE HILERA DISTAL</v>
      </c>
      <c r="H656">
        <v>0</v>
      </c>
      <c r="I656" t="str">
        <v>ACEPTADO</v>
      </c>
      <c r="J656" t="str">
        <v>PARANÁ</v>
      </c>
      <c r="K656" t="str">
        <v>PAMI</v>
      </c>
      <c r="L656">
        <v>0</v>
      </c>
    </row>
    <row r="657" spans="2:12" x14ac:dyDescent="0.25">
      <c r="B657">
        <v>45574</v>
      </c>
      <c r="C657" t="str">
        <v>SORTINO JUAN JOSE</v>
      </c>
      <c r="D657">
        <v>75</v>
      </c>
      <c r="E657" t="str">
        <v>SUKSDORF</v>
      </c>
      <c r="F657" t="str">
        <v>GONARTROSIS</v>
      </c>
      <c r="G657" t="str">
        <v>PTR</v>
      </c>
      <c r="H657">
        <v>0</v>
      </c>
      <c r="I657" t="str">
        <v>ACEPTADO</v>
      </c>
      <c r="J657" t="str">
        <v>DIAMANTE</v>
      </c>
      <c r="K657" t="str">
        <v>PAMI</v>
      </c>
      <c r="L657">
        <v>0</v>
      </c>
    </row>
    <row r="658" spans="2:12" x14ac:dyDescent="0.25">
      <c r="B658">
        <v>45574</v>
      </c>
      <c r="C658" t="str">
        <v>Ubal carlos</v>
      </c>
      <c r="D658">
        <v>69</v>
      </c>
      <c r="E658" t="str">
        <v>GARCIA VITOR</v>
      </c>
      <c r="F658" t="str">
        <v>COXARTROSIS</v>
      </c>
      <c r="G658" t="str">
        <v>PTC HIBRIDA</v>
      </c>
      <c r="H658">
        <v>0</v>
      </c>
      <c r="I658" t="str">
        <v>ACEPTADO</v>
      </c>
      <c r="J658" t="str">
        <v>PARANÁ</v>
      </c>
      <c r="K658" t="str">
        <v>PAMI</v>
      </c>
      <c r="L658">
        <v>0</v>
      </c>
    </row>
    <row r="659" spans="2:12" x14ac:dyDescent="0.25">
      <c r="B659">
        <v>45574</v>
      </c>
      <c r="C659" t="str">
        <v>FERNANDEZ MONICA</v>
      </c>
      <c r="D659">
        <v>67</v>
      </c>
      <c r="E659" t="str">
        <v>STOPELLO</v>
      </c>
      <c r="F659" t="str">
        <v>GONARTROSIS</v>
      </c>
      <c r="G659" t="str">
        <v>PTR CON VASTAGOS Y CUÑAS</v>
      </c>
      <c r="H659">
        <v>0</v>
      </c>
      <c r="I659" t="str">
        <v>ACEPTADO</v>
      </c>
      <c r="J659" t="str">
        <v>PARANÁ</v>
      </c>
      <c r="K659" t="str">
        <v>PAMI</v>
      </c>
      <c r="L659">
        <v>0</v>
      </c>
    </row>
    <row r="660" spans="2:12" x14ac:dyDescent="0.25">
      <c r="B660">
        <v>45574</v>
      </c>
      <c r="C660" t="str">
        <v>CHIABRANDO MANUEL</v>
      </c>
      <c r="D660">
        <v>66</v>
      </c>
      <c r="E660" t="str">
        <v>CESAR MEYNET</v>
      </c>
      <c r="F660" t="str">
        <v>GENU VALGO</v>
      </c>
      <c r="G660" t="str">
        <v>PTR CON VASTAGO TIBIAL</v>
      </c>
      <c r="H660">
        <v>0</v>
      </c>
      <c r="I660" t="str">
        <v>ACEPTADO</v>
      </c>
      <c r="J660" t="str">
        <v>DIAMANTE</v>
      </c>
      <c r="K660" t="str">
        <v>PAMI</v>
      </c>
      <c r="L660">
        <v>0</v>
      </c>
    </row>
    <row r="661" spans="2:12" x14ac:dyDescent="0.25">
      <c r="B661">
        <v>45574</v>
      </c>
      <c r="C661" t="str">
        <v xml:space="preserve">RETAMAL NILDA </v>
      </c>
      <c r="D661">
        <v>70</v>
      </c>
      <c r="E661" t="str">
        <v>GARCIA VITOR</v>
      </c>
      <c r="F661" t="str">
        <v>PSEUDOARTROSIS</v>
      </c>
      <c r="G661" t="str">
        <v xml:space="preserve">PTC NO CEMENTADA DE FIJACION DISTAL CONICA </v>
      </c>
      <c r="H661">
        <v>0</v>
      </c>
      <c r="I661" t="str">
        <v>ACEPTADO</v>
      </c>
      <c r="J661" t="str">
        <v>PARANÁ</v>
      </c>
      <c r="K661" t="str">
        <v>PAMI</v>
      </c>
      <c r="L661">
        <v>0</v>
      </c>
    </row>
    <row r="662" spans="2:12" x14ac:dyDescent="0.25">
      <c r="B662">
        <v>45575</v>
      </c>
      <c r="C662" t="str">
        <v>RAMIREZ MIRTA</v>
      </c>
      <c r="D662">
        <v>0</v>
      </c>
      <c r="E662" t="str">
        <v>GARCIA VITOR</v>
      </c>
      <c r="F662" t="str">
        <v>COXARTROSIS</v>
      </c>
      <c r="G662" t="str">
        <v>PTC NO CEMENTADA COTILO MULTIPERFORADO TALLO PULIDO ESPEJO</v>
      </c>
      <c r="H662">
        <v>0</v>
      </c>
      <c r="I662" t="str">
        <v>ACEPTADO</v>
      </c>
      <c r="J662" t="str">
        <v>PARANÁ</v>
      </c>
      <c r="K662" t="str">
        <v>PAMI</v>
      </c>
      <c r="L662">
        <v>0</v>
      </c>
    </row>
    <row r="663" spans="2:12" x14ac:dyDescent="0.25">
      <c r="B663">
        <v>45579</v>
      </c>
      <c r="C663" t="str">
        <v>LORENZO ANA</v>
      </c>
      <c r="D663">
        <v>78</v>
      </c>
      <c r="E663" t="str">
        <v>MERLINI</v>
      </c>
      <c r="F663" t="str">
        <v>FX CADERA</v>
      </c>
      <c r="G663" t="str">
        <v>THOMPSON</v>
      </c>
      <c r="H663" t="str">
        <v>VILLALBA</v>
      </c>
      <c r="I663" t="str">
        <v>ACEPTADO</v>
      </c>
      <c r="J663" t="str">
        <v>PARANÁ</v>
      </c>
      <c r="K663" t="str">
        <v>PAMI</v>
      </c>
      <c r="L663">
        <v>0</v>
      </c>
    </row>
    <row r="664" spans="2:12" x14ac:dyDescent="0.25">
      <c r="B664">
        <v>45579</v>
      </c>
      <c r="C664" t="str">
        <v>GAITAN  MARIA DEL CARMEN</v>
      </c>
      <c r="D664">
        <v>62</v>
      </c>
      <c r="E664" t="str">
        <v>UCEDO</v>
      </c>
      <c r="F664" t="str">
        <v>HALLUX V</v>
      </c>
      <c r="G664" t="str">
        <v>1T BAROUK 1 CUNULADOS 2 CLAVIJAS 2,0 2 CLAVIJAS 1,5 MM</v>
      </c>
      <c r="H664">
        <v>0</v>
      </c>
      <c r="I664" t="str">
        <v>ACEPTADO</v>
      </c>
      <c r="J664" t="str">
        <v>PARANÁ</v>
      </c>
      <c r="K664" t="str">
        <v>PAMI</v>
      </c>
      <c r="L664">
        <v>0</v>
      </c>
    </row>
    <row r="665" spans="2:12" x14ac:dyDescent="0.25">
      <c r="B665">
        <v>45580</v>
      </c>
      <c r="C665" t="str">
        <v>MENA CELIA</v>
      </c>
      <c r="D665">
        <v>78</v>
      </c>
      <c r="E665" t="str">
        <v>MERLINI</v>
      </c>
      <c r="F665" t="str">
        <v>FX MUÑECA</v>
      </c>
      <c r="G665" t="str">
        <v>PLACA EDR DOBLE HILERA</v>
      </c>
      <c r="H665" t="str">
        <v>VILLALBA</v>
      </c>
      <c r="I665" t="str">
        <v>ACEPTADO</v>
      </c>
      <c r="J665" t="str">
        <v>PARANÁ</v>
      </c>
      <c r="K665" t="str">
        <v>PAMI</v>
      </c>
      <c r="L665">
        <v>0</v>
      </c>
    </row>
    <row r="666" spans="2:12" x14ac:dyDescent="0.25">
      <c r="B666">
        <v>45580</v>
      </c>
      <c r="C666" t="str">
        <v>MILDENBERGER ADELINA</v>
      </c>
      <c r="D666">
        <v>76</v>
      </c>
      <c r="E666">
        <v>0</v>
      </c>
      <c r="F666" t="str">
        <v>GENU VARO</v>
      </c>
      <c r="G666" t="str">
        <v>PTR</v>
      </c>
      <c r="H666">
        <v>0</v>
      </c>
      <c r="I666" t="str">
        <v>ACEPTADO</v>
      </c>
      <c r="J666" t="str">
        <v>PARANÁ</v>
      </c>
      <c r="K666" t="str">
        <v>PAMI</v>
      </c>
      <c r="L666">
        <v>0</v>
      </c>
    </row>
    <row r="667" spans="2:12" x14ac:dyDescent="0.25">
      <c r="B667">
        <v>45580</v>
      </c>
      <c r="C667" t="str">
        <v>GRANDOLI DORA</v>
      </c>
      <c r="D667">
        <v>77</v>
      </c>
      <c r="E667" t="str">
        <v>NARVAEZ</v>
      </c>
      <c r="F667" t="str">
        <v>HALLUX</v>
      </c>
      <c r="G667" t="str">
        <v>1 PLACA B 1 TORNILLO H</v>
      </c>
      <c r="H667">
        <v>0</v>
      </c>
      <c r="I667" t="str">
        <v>ACEPTADO</v>
      </c>
      <c r="J667" t="str">
        <v>PARANÁ</v>
      </c>
      <c r="K667" t="str">
        <v>PAMI</v>
      </c>
      <c r="L667">
        <v>0</v>
      </c>
    </row>
    <row r="668" spans="2:12" x14ac:dyDescent="0.25">
      <c r="B668">
        <v>45580</v>
      </c>
      <c r="C668" t="str">
        <v>MAYDANA LUIS</v>
      </c>
      <c r="D668">
        <v>68</v>
      </c>
      <c r="E668" t="str">
        <v>CESAR MEYNET</v>
      </c>
      <c r="F668" t="str">
        <v>COXARTROSIS</v>
      </c>
      <c r="G668" t="str">
        <v>PTC COTILO NO CEMENTADO</v>
      </c>
      <c r="H668">
        <v>0</v>
      </c>
      <c r="I668" t="str">
        <v>ACEPTADO</v>
      </c>
      <c r="J668" t="str">
        <v>PARANÁ</v>
      </c>
      <c r="K668" t="str">
        <v>PAMI</v>
      </c>
      <c r="L668">
        <v>0</v>
      </c>
    </row>
    <row r="669" spans="2:12" x14ac:dyDescent="0.25">
      <c r="B669">
        <v>45583</v>
      </c>
      <c r="C669" t="str">
        <v>RETAMAL ROSA</v>
      </c>
      <c r="D669">
        <v>61</v>
      </c>
      <c r="E669" t="str">
        <v>MERLINI</v>
      </c>
      <c r="F669" t="str">
        <v>FX CADERA</v>
      </c>
      <c r="G669" t="str">
        <v>CLAVO GAMMA CORTO Y LARGO</v>
      </c>
      <c r="H669">
        <v>0</v>
      </c>
      <c r="I669" t="str">
        <v>ACEPTADO</v>
      </c>
      <c r="J669" t="str">
        <v>PARANÁ</v>
      </c>
      <c r="K669" t="str">
        <v>PAMI</v>
      </c>
      <c r="L669">
        <v>0</v>
      </c>
    </row>
    <row r="670" spans="2:12" x14ac:dyDescent="0.25">
      <c r="B670">
        <v>45584</v>
      </c>
      <c r="C670" t="str">
        <v>Caceres Jeremias</v>
      </c>
      <c r="D670">
        <v>24</v>
      </c>
      <c r="E670" t="str">
        <v>GARCIA VITOR</v>
      </c>
      <c r="F670" t="str">
        <v>INESTABILIDAD ANTERIOR DE RODILLA</v>
      </c>
      <c r="G670" t="str">
        <v>1 BOTON AUTOAJUSTABLE 2 T DE TITANIO ROSCA ROMA 1 PUNTA SHAVER 1 P RADIO</v>
      </c>
      <c r="H670">
        <v>0</v>
      </c>
      <c r="I670" t="str">
        <v>ACEPTADO</v>
      </c>
      <c r="J670">
        <v>0</v>
      </c>
      <c r="K670" t="str">
        <v>S/M</v>
      </c>
      <c r="L670">
        <v>0</v>
      </c>
    </row>
    <row r="671" spans="2:12" x14ac:dyDescent="0.25">
      <c r="B671">
        <v>45586</v>
      </c>
      <c r="C671" t="str">
        <v xml:space="preserve">Pereyra Geronima </v>
      </c>
      <c r="D671">
        <v>88</v>
      </c>
      <c r="E671" t="str">
        <v>MERLINI</v>
      </c>
      <c r="F671" t="str">
        <v>fx cadera</v>
      </c>
      <c r="G671" t="str">
        <v>CLAVO GAMMA CORTO Y LARGO</v>
      </c>
      <c r="H671">
        <v>0</v>
      </c>
      <c r="I671" t="str">
        <v>ACEPTADO</v>
      </c>
      <c r="J671" t="str">
        <v>PARANÁ</v>
      </c>
      <c r="K671" t="str">
        <v>PAMI</v>
      </c>
      <c r="L671">
        <v>0</v>
      </c>
    </row>
    <row r="672" spans="2:12" x14ac:dyDescent="0.25">
      <c r="B672">
        <v>45586</v>
      </c>
      <c r="C672" t="str">
        <v>MENA NORMA</v>
      </c>
      <c r="D672">
        <v>66</v>
      </c>
      <c r="E672" t="str">
        <v>MERLINI</v>
      </c>
      <c r="F672" t="str">
        <v>FX CADERA</v>
      </c>
      <c r="G672" t="str">
        <v>CLAVO GAMMA CORTO Y LARGO</v>
      </c>
      <c r="H672">
        <v>0</v>
      </c>
      <c r="I672" t="str">
        <v>ACEPTADO</v>
      </c>
      <c r="J672" t="str">
        <v>PARANÁ</v>
      </c>
      <c r="K672" t="str">
        <v>PAMI</v>
      </c>
      <c r="L672">
        <v>0</v>
      </c>
    </row>
    <row r="673" spans="2:12" x14ac:dyDescent="0.25">
      <c r="B673">
        <v>45587</v>
      </c>
      <c r="C673" t="str">
        <v>SUAREZ NORA</v>
      </c>
      <c r="D673">
        <v>64</v>
      </c>
      <c r="E673">
        <v>0</v>
      </c>
      <c r="F673" t="str">
        <v>RTR IZQUIERDA</v>
      </c>
      <c r="G673" t="str">
        <v>GENU VARO</v>
      </c>
      <c r="H673">
        <v>0</v>
      </c>
      <c r="I673" t="str">
        <v>ACEPTADO</v>
      </c>
      <c r="J673" t="str">
        <v>PARANÁ</v>
      </c>
      <c r="K673" t="str">
        <v>PAMI</v>
      </c>
      <c r="L673">
        <v>0</v>
      </c>
    </row>
    <row r="674" spans="2:12" x14ac:dyDescent="0.25">
      <c r="B674">
        <v>45587</v>
      </c>
      <c r="C674" t="str">
        <v>KOBS JULIO</v>
      </c>
      <c r="D674">
        <v>56</v>
      </c>
      <c r="E674" t="str">
        <v>GARCIA VITOR</v>
      </c>
      <c r="F674" t="str">
        <v>INFECCION PROTESICA</v>
      </c>
      <c r="G674" t="str">
        <v>SET PARA EXTRACCION</v>
      </c>
      <c r="H674">
        <v>0</v>
      </c>
      <c r="I674" t="str">
        <v>ACEPTADO</v>
      </c>
      <c r="J674" t="str">
        <v>PARANÁ</v>
      </c>
      <c r="K674" t="str">
        <v>PAMI</v>
      </c>
      <c r="L674">
        <v>0</v>
      </c>
    </row>
    <row r="675" spans="2:12" x14ac:dyDescent="0.25">
      <c r="B675">
        <v>45588</v>
      </c>
      <c r="C675" t="str">
        <v xml:space="preserve">Gazagne Libertad </v>
      </c>
      <c r="D675">
        <v>82</v>
      </c>
      <c r="E675" t="str">
        <v>MERLINI</v>
      </c>
      <c r="F675" t="str">
        <v>Fx cadera</v>
      </c>
      <c r="G675" t="str">
        <v>ptc thompson</v>
      </c>
      <c r="H675">
        <v>0</v>
      </c>
      <c r="I675" t="str">
        <v>ACEPTADO</v>
      </c>
      <c r="J675" t="str">
        <v>PARANÁ</v>
      </c>
      <c r="K675" t="str">
        <v>PAMI</v>
      </c>
      <c r="L675">
        <v>0</v>
      </c>
    </row>
    <row r="676" spans="2:12" x14ac:dyDescent="0.25">
      <c r="B676">
        <v>45589</v>
      </c>
      <c r="C676" t="str">
        <v>ACOSTA ALICIA</v>
      </c>
      <c r="D676">
        <v>68</v>
      </c>
      <c r="E676" t="str">
        <v>YACOMO</v>
      </c>
      <c r="F676" t="str">
        <v>ARTROSCOPIA</v>
      </c>
      <c r="G676" t="str">
        <v>PUNTA DE SHAVER 4,5</v>
      </c>
      <c r="H676">
        <v>0</v>
      </c>
      <c r="I676" t="str">
        <v>ACEPTADO</v>
      </c>
      <c r="J676" t="str">
        <v>PARANÁ</v>
      </c>
      <c r="K676" t="str">
        <v>PAMI</v>
      </c>
      <c r="L676">
        <v>0</v>
      </c>
    </row>
    <row r="677" spans="2:12" x14ac:dyDescent="0.25">
      <c r="B677">
        <v>45589</v>
      </c>
      <c r="C677" t="str">
        <v>MACIAS GABRIEL</v>
      </c>
      <c r="D677">
        <v>54</v>
      </c>
      <c r="E677" t="str">
        <v>CESAR MEYNET</v>
      </c>
      <c r="F677" t="str">
        <v>COXARTROSIS</v>
      </c>
      <c r="G677" t="str">
        <v>PTC NO CEMENTADA</v>
      </c>
      <c r="H677">
        <v>0</v>
      </c>
      <c r="I677" t="str">
        <v>ACEPTADO</v>
      </c>
      <c r="J677" t="str">
        <v>PARANÁ</v>
      </c>
      <c r="K677" t="str">
        <v>S/M</v>
      </c>
      <c r="L677">
        <v>0</v>
      </c>
    </row>
    <row r="678" spans="2:12" x14ac:dyDescent="0.25">
      <c r="B678">
        <v>45593</v>
      </c>
      <c r="C678" t="str">
        <v>Rodriguez Franco</v>
      </c>
      <c r="D678">
        <v>28</v>
      </c>
      <c r="E678" t="str">
        <v>PELEGRINI</v>
      </c>
      <c r="F678" t="str">
        <v>LCA</v>
      </c>
      <c r="G678" t="str">
        <v>1 BOTON 1 TORNILO INT</v>
      </c>
      <c r="H678">
        <v>0</v>
      </c>
      <c r="I678" t="str">
        <v>ACEPTADO</v>
      </c>
      <c r="J678" t="str">
        <v>Gualeguay</v>
      </c>
      <c r="K678" t="str">
        <v>S/M</v>
      </c>
      <c r="L678">
        <v>0</v>
      </c>
    </row>
    <row r="679" spans="2:12" x14ac:dyDescent="0.25">
      <c r="B679">
        <v>45593</v>
      </c>
      <c r="C679" t="str">
        <v>Iarce Gerardo</v>
      </c>
      <c r="D679">
        <v>45</v>
      </c>
      <c r="E679" t="str">
        <v>PELEGRINI</v>
      </c>
      <c r="F679" t="str">
        <v>LCA</v>
      </c>
      <c r="G679" t="str">
        <v>1 BOTON 1 TORNILO INT</v>
      </c>
      <c r="H679">
        <v>0</v>
      </c>
      <c r="I679" t="str">
        <v>ACEPTADO</v>
      </c>
      <c r="J679" t="str">
        <v>Gualeguay</v>
      </c>
      <c r="K679" t="str">
        <v>S/M</v>
      </c>
      <c r="L679">
        <v>0</v>
      </c>
    </row>
    <row r="680" spans="2:12" x14ac:dyDescent="0.25">
      <c r="B680">
        <v>45593</v>
      </c>
      <c r="C680" t="str">
        <v>Zarate Brian</v>
      </c>
      <c r="D680">
        <v>26</v>
      </c>
      <c r="E680" t="str">
        <v>PELEGRINI</v>
      </c>
      <c r="F680" t="str">
        <v>LCA</v>
      </c>
      <c r="G680" t="str">
        <v>1 BOTON 1 TORNILO INT</v>
      </c>
      <c r="H680">
        <v>0</v>
      </c>
      <c r="I680" t="str">
        <v>ACEPTADO</v>
      </c>
      <c r="J680" t="str">
        <v>Gualeguay</v>
      </c>
      <c r="K680" t="str">
        <v>S/M</v>
      </c>
      <c r="L680">
        <v>0</v>
      </c>
    </row>
    <row r="681" spans="2:12" x14ac:dyDescent="0.25">
      <c r="B681">
        <v>45593</v>
      </c>
      <c r="C681" t="str">
        <v>Godoy Rosalia</v>
      </c>
      <c r="D681">
        <v>53</v>
      </c>
      <c r="E681" t="str">
        <v>MERLINI</v>
      </c>
      <c r="F681" t="str">
        <v>Fx de humero</v>
      </c>
      <c r="G681" t="str">
        <v>1 Placa Philos 3,5</v>
      </c>
      <c r="H681">
        <v>0</v>
      </c>
      <c r="I681" t="str">
        <v>ACEPTADO</v>
      </c>
      <c r="J681">
        <v>0</v>
      </c>
      <c r="K681" t="str">
        <v>S/M</v>
      </c>
      <c r="L681">
        <v>0</v>
      </c>
    </row>
    <row r="682" spans="2:12" x14ac:dyDescent="0.25">
      <c r="B682">
        <v>45595</v>
      </c>
      <c r="C682" t="str">
        <v>Echengue Horacio</v>
      </c>
      <c r="D682">
        <v>41</v>
      </c>
      <c r="E682" t="str">
        <v>CATRIEL GODOY</v>
      </c>
      <c r="F682" t="str">
        <v xml:space="preserve">luxacion </v>
      </c>
      <c r="G682" t="str">
        <v>1 endobutton  2 sutura de alta resistencia</v>
      </c>
      <c r="H682">
        <v>0</v>
      </c>
      <c r="I682" t="str">
        <v>ACEPTADO</v>
      </c>
      <c r="J682" t="str">
        <v>PARANÁ</v>
      </c>
      <c r="K682" t="str">
        <v>S/M</v>
      </c>
      <c r="L682">
        <v>0</v>
      </c>
    </row>
    <row r="683" spans="2:12" x14ac:dyDescent="0.25">
      <c r="B683">
        <v>45595</v>
      </c>
      <c r="C683" t="str">
        <v>Kecher Santiago</v>
      </c>
      <c r="D683">
        <v>16</v>
      </c>
      <c r="E683" t="str">
        <v xml:space="preserve">HERMIDA </v>
      </c>
      <c r="F683" t="str">
        <v>1 Boton 1 Tornillo</v>
      </c>
      <c r="G683" t="str">
        <v>LCA</v>
      </c>
      <c r="H683">
        <v>0</v>
      </c>
      <c r="I683" t="str">
        <v>ACEPTADO</v>
      </c>
      <c r="J683" t="str">
        <v>Paraná</v>
      </c>
      <c r="K683" t="str">
        <v>S/M</v>
      </c>
      <c r="L683">
        <v>0</v>
      </c>
    </row>
    <row r="684" spans="2:12" x14ac:dyDescent="0.25">
      <c r="B684">
        <v>45595</v>
      </c>
      <c r="C684" t="str">
        <v>Martinez Angelina</v>
      </c>
      <c r="D684">
        <v>59</v>
      </c>
      <c r="E684" t="str">
        <v>CATRIEL GODOY</v>
      </c>
      <c r="F684" t="str">
        <v xml:space="preserve">RTR   </v>
      </c>
      <c r="G684" t="str">
        <v>GONARTROSIS</v>
      </c>
      <c r="H684">
        <v>0</v>
      </c>
      <c r="I684" t="str">
        <v>ACEPTADO</v>
      </c>
      <c r="J684">
        <v>0</v>
      </c>
      <c r="K684" t="str">
        <v>S/M</v>
      </c>
      <c r="L684">
        <v>0</v>
      </c>
    </row>
    <row r="685" spans="2:12" x14ac:dyDescent="0.25">
      <c r="B685">
        <v>45595</v>
      </c>
      <c r="C685" t="str">
        <v>Aracenas Moreno Hugo</v>
      </c>
      <c r="D685">
        <v>27</v>
      </c>
      <c r="E685" t="str">
        <v xml:space="preserve">HERMIDA </v>
      </c>
      <c r="F685" t="str">
        <v>LCA</v>
      </c>
      <c r="G685" t="str">
        <v>1BOTON 1 Tornillo</v>
      </c>
      <c r="H685">
        <v>0</v>
      </c>
      <c r="I685" t="str">
        <v>ACEPTADO</v>
      </c>
      <c r="J685" t="str">
        <v>villaguay</v>
      </c>
      <c r="K685" t="str">
        <v>S/M</v>
      </c>
      <c r="L685">
        <v>0</v>
      </c>
    </row>
    <row r="686" spans="2:12" x14ac:dyDescent="0.25">
      <c r="B686">
        <v>45596</v>
      </c>
      <c r="C686" t="str">
        <v xml:space="preserve">Minetti Miguel </v>
      </c>
      <c r="D686">
        <v>54</v>
      </c>
      <c r="E686" t="str">
        <v>YACOMO</v>
      </c>
      <c r="F686" t="str">
        <v>Genu Varo</v>
      </c>
      <c r="G686" t="str">
        <v>1 Placa puddu</v>
      </c>
      <c r="H686">
        <v>0</v>
      </c>
      <c r="I686" t="str">
        <v>ACEPTADO</v>
      </c>
      <c r="J686" t="str">
        <v>Paraná</v>
      </c>
      <c r="K686" t="str">
        <v>S/M</v>
      </c>
      <c r="L686">
        <v>0</v>
      </c>
    </row>
    <row r="687" spans="2:12" x14ac:dyDescent="0.25">
      <c r="B687">
        <v>45596</v>
      </c>
      <c r="C687" t="str">
        <v>Castillo Norma</v>
      </c>
      <c r="D687">
        <v>55</v>
      </c>
      <c r="E687" t="str">
        <v>CESAR MEYNET</v>
      </c>
      <c r="F687" t="str">
        <v>Coxartrosis</v>
      </c>
      <c r="G687" t="str">
        <v>1 PTC NO CEMENTADA</v>
      </c>
      <c r="H687">
        <v>0</v>
      </c>
      <c r="I687" t="str">
        <v>ACEPTADO</v>
      </c>
      <c r="J687" t="str">
        <v>LA PAZ</v>
      </c>
      <c r="K687" t="str">
        <v>S/M</v>
      </c>
      <c r="L687">
        <v>0</v>
      </c>
    </row>
    <row r="688" spans="2:12" x14ac:dyDescent="0.25">
      <c r="B688">
        <v>45596</v>
      </c>
      <c r="C688" t="str">
        <v>Rios Nadia</v>
      </c>
      <c r="D688">
        <v>34</v>
      </c>
      <c r="E688" t="str">
        <v>YACOMO</v>
      </c>
      <c r="F688" t="str">
        <v>INESTABILIDAD EN VARO</v>
      </c>
      <c r="G688" t="str">
        <v>1 SET DE EXTRACCIO PARA CLAVO DE TIBIA</v>
      </c>
      <c r="H688">
        <v>0</v>
      </c>
      <c r="I688" t="str">
        <v>ACEPTADO</v>
      </c>
      <c r="J688" t="str">
        <v>PARANÁ</v>
      </c>
      <c r="K688" t="str">
        <v>S/M</v>
      </c>
      <c r="L688">
        <v>0</v>
      </c>
    </row>
    <row r="689" spans="2:12" x14ac:dyDescent="0.25">
      <c r="B689">
        <v>45596</v>
      </c>
      <c r="C689" t="str">
        <v>MENA JAVIER</v>
      </c>
      <c r="D689">
        <v>25</v>
      </c>
      <c r="E689" t="str">
        <v>YACOMO</v>
      </c>
      <c r="F689" t="str">
        <v>LCA</v>
      </c>
      <c r="G689" t="str">
        <v>1 BOTON 1 TORNILLO</v>
      </c>
      <c r="H689">
        <v>0</v>
      </c>
      <c r="I689" t="str">
        <v>ACEPTADO</v>
      </c>
      <c r="J689" t="str">
        <v>BOVRIL</v>
      </c>
      <c r="K689" t="str">
        <v>S/M</v>
      </c>
      <c r="L689">
        <v>0</v>
      </c>
    </row>
    <row r="690" spans="2:12" x14ac:dyDescent="0.25">
      <c r="B690">
        <v>45596</v>
      </c>
      <c r="C690" t="str">
        <v xml:space="preserve">RODRIGUEZ ELISA </v>
      </c>
      <c r="D690">
        <v>0</v>
      </c>
      <c r="E690" t="str">
        <v>YACOMO</v>
      </c>
      <c r="F690" t="str">
        <v>LCA</v>
      </c>
      <c r="G690" t="str">
        <v>1 BOTON 1 TORNILLO</v>
      </c>
      <c r="H690">
        <v>0</v>
      </c>
      <c r="I690" t="str">
        <v>ACEPTADO</v>
      </c>
      <c r="J690" t="str">
        <v>PARANÁ</v>
      </c>
      <c r="K690" t="str">
        <v>S/M</v>
      </c>
      <c r="L690">
        <v>0</v>
      </c>
    </row>
    <row r="691" spans="2:12" x14ac:dyDescent="0.25">
      <c r="B691">
        <v>45597</v>
      </c>
      <c r="C691" t="str">
        <v>OLIVERA GUSTAVO</v>
      </c>
      <c r="D691">
        <v>57</v>
      </c>
      <c r="E691" t="str">
        <v xml:space="preserve">URANGA </v>
      </c>
      <c r="F691" t="str">
        <v>INESTABILIDAD VERTEBRAL</v>
      </c>
      <c r="G691" t="str">
        <v>4 TORNILLO 2 BARRAS 1 PLIF 1 SUSTITUTO OSEO</v>
      </c>
      <c r="H691">
        <v>0</v>
      </c>
      <c r="I691" t="str">
        <v>ACEPTADO</v>
      </c>
      <c r="J691" t="str">
        <v>GUALEGUAYCHU</v>
      </c>
      <c r="K691" t="str">
        <v>S/M</v>
      </c>
      <c r="L691">
        <v>0</v>
      </c>
    </row>
    <row r="692" spans="2:12" x14ac:dyDescent="0.25">
      <c r="B692">
        <v>45597</v>
      </c>
      <c r="C692" t="str">
        <v>Sosa Hector</v>
      </c>
      <c r="D692">
        <v>69</v>
      </c>
      <c r="E692" t="str">
        <v>STOPELLO</v>
      </c>
      <c r="F692" t="str">
        <v>Coxartrosis</v>
      </c>
      <c r="G692" t="str">
        <v>ptc de revision no cementada</v>
      </c>
      <c r="H692">
        <v>0</v>
      </c>
      <c r="I692" t="str">
        <v>ACEPTADO</v>
      </c>
      <c r="J692" t="str">
        <v>PARANÁ</v>
      </c>
      <c r="K692" t="str">
        <v>PAMI</v>
      </c>
      <c r="L692">
        <v>0</v>
      </c>
    </row>
    <row r="693" spans="2:12" x14ac:dyDescent="0.25">
      <c r="B693">
        <v>45597</v>
      </c>
      <c r="C693" t="str">
        <v xml:space="preserve">Villalba Gloria </v>
      </c>
      <c r="D693">
        <v>67</v>
      </c>
      <c r="E693" t="str">
        <v>STOPELLO</v>
      </c>
      <c r="F693" t="str">
        <v>Gonartrosis</v>
      </c>
      <c r="G693" t="str">
        <v>RTR</v>
      </c>
      <c r="H693">
        <v>0</v>
      </c>
      <c r="I693" t="str">
        <v>ACEPTADO</v>
      </c>
      <c r="J693" t="str">
        <v>PARANÁ</v>
      </c>
      <c r="K693" t="str">
        <v>PAMI</v>
      </c>
      <c r="L693">
        <v>0</v>
      </c>
    </row>
    <row r="694" spans="2:12" x14ac:dyDescent="0.25">
      <c r="B694">
        <v>45597</v>
      </c>
      <c r="C694" t="str">
        <v xml:space="preserve">Gomez Cristina </v>
      </c>
      <c r="D694">
        <v>62</v>
      </c>
      <c r="E694" t="str">
        <v xml:space="preserve">HERMIDA </v>
      </c>
      <c r="F694" t="str">
        <v>Fx muñeca</v>
      </c>
      <c r="G694" t="str">
        <v>placa edr hilera distal 2,7/3,5</v>
      </c>
      <c r="H694">
        <v>0</v>
      </c>
      <c r="I694" t="str">
        <v>ACEPTADO</v>
      </c>
      <c r="J694" t="str">
        <v>PARANÁ</v>
      </c>
      <c r="K694" t="str">
        <v>PAMI</v>
      </c>
      <c r="L694">
        <v>0</v>
      </c>
    </row>
    <row r="695" spans="2:12" x14ac:dyDescent="0.25">
      <c r="B695">
        <v>45597</v>
      </c>
      <c r="C695" t="str">
        <v>Rios Ramona</v>
      </c>
      <c r="D695">
        <v>84</v>
      </c>
      <c r="E695" t="str">
        <v xml:space="preserve">URANGA </v>
      </c>
      <c r="F695" t="str">
        <v>Fx cadera</v>
      </c>
      <c r="G695" t="str">
        <v>clavo gamma corto y largo</v>
      </c>
      <c r="H695">
        <v>0</v>
      </c>
      <c r="I695" t="str">
        <v>ACEPTADO</v>
      </c>
      <c r="J695" t="str">
        <v>PARANÁ</v>
      </c>
      <c r="K695" t="str">
        <v>PAMI</v>
      </c>
      <c r="L695">
        <v>0</v>
      </c>
    </row>
    <row r="696" spans="2:12" x14ac:dyDescent="0.25">
      <c r="B696">
        <v>45598</v>
      </c>
      <c r="C696" t="str">
        <v>TARABINI ELVIRA</v>
      </c>
      <c r="D696">
        <v>66</v>
      </c>
      <c r="E696" t="str">
        <v xml:space="preserve">URANGA </v>
      </c>
      <c r="F696" t="str">
        <v>FX CADERA</v>
      </c>
      <c r="G696" t="str">
        <v>1 PLACA DE FEMUR LCP 1 PLAA EN T 4,5 TORNILLOS CANULADOS</v>
      </c>
      <c r="H696">
        <v>0</v>
      </c>
      <c r="I696" t="str">
        <v>ACEPTADO</v>
      </c>
      <c r="J696" t="str">
        <v>PARANÁ</v>
      </c>
      <c r="K696" t="str">
        <v>PAMI</v>
      </c>
      <c r="L696">
        <v>0</v>
      </c>
    </row>
    <row r="697" spans="2:12" x14ac:dyDescent="0.25">
      <c r="B697">
        <v>45600</v>
      </c>
      <c r="C697" t="str">
        <v>LINDAO MARY</v>
      </c>
      <c r="D697">
        <v>38</v>
      </c>
      <c r="E697" t="str">
        <v>PELEGRINI</v>
      </c>
      <c r="F697" t="str">
        <v>1 BOTON 1 TORNILLO</v>
      </c>
      <c r="G697" t="str">
        <v>LCA</v>
      </c>
      <c r="H697">
        <v>0</v>
      </c>
      <c r="I697" t="str">
        <v>ACEPTADO</v>
      </c>
      <c r="J697" t="str">
        <v>GUALEGUAY</v>
      </c>
      <c r="K697" t="str">
        <v>S/M</v>
      </c>
      <c r="L697">
        <v>0</v>
      </c>
    </row>
    <row r="698" spans="2:12" x14ac:dyDescent="0.25">
      <c r="B698">
        <v>45601</v>
      </c>
      <c r="C698" t="str">
        <v>Romero Esteban</v>
      </c>
      <c r="D698">
        <v>53</v>
      </c>
      <c r="E698" t="str">
        <v>UCEDO</v>
      </c>
      <c r="F698" t="str">
        <v>PROTESIS DE RODILLA</v>
      </c>
      <c r="G698" t="str">
        <v>AMPUTACION SUPRACONDILEA</v>
      </c>
      <c r="H698">
        <v>0</v>
      </c>
      <c r="I698" t="str">
        <v>ACEPTADO</v>
      </c>
      <c r="J698" t="str">
        <v>PARANÁ</v>
      </c>
      <c r="K698" t="str">
        <v>S/M</v>
      </c>
      <c r="L698">
        <v>0</v>
      </c>
    </row>
    <row r="699" spans="2:12" x14ac:dyDescent="0.25">
      <c r="B699">
        <v>45601</v>
      </c>
      <c r="C699" t="str">
        <v>BERGARA LIASAR</v>
      </c>
      <c r="D699">
        <v>70</v>
      </c>
      <c r="E699">
        <v>0</v>
      </c>
      <c r="F699" t="str">
        <v>PTR IZQUIERDA</v>
      </c>
      <c r="G699" t="str">
        <v>GENU VARO</v>
      </c>
      <c r="H699">
        <v>0</v>
      </c>
      <c r="I699" t="str">
        <v>ACEPTADO</v>
      </c>
      <c r="J699" t="str">
        <v>PARANÁ</v>
      </c>
      <c r="K699" t="str">
        <v>PAMI</v>
      </c>
      <c r="L699">
        <v>0</v>
      </c>
    </row>
    <row r="700" spans="2:12" x14ac:dyDescent="0.25">
      <c r="B700">
        <v>45602</v>
      </c>
      <c r="C700" t="str">
        <v>Rodriguez Lidia</v>
      </c>
      <c r="D700">
        <v>63</v>
      </c>
      <c r="E700">
        <v>0</v>
      </c>
      <c r="F700" t="str">
        <v>Gonartrosis</v>
      </c>
      <c r="G700" t="str">
        <v xml:space="preserve">PTR </v>
      </c>
      <c r="H700">
        <v>0</v>
      </c>
      <c r="I700" t="str">
        <v>ACEPTADO</v>
      </c>
      <c r="J700" t="str">
        <v>VIALE</v>
      </c>
      <c r="K700" t="str">
        <v>PAMI</v>
      </c>
      <c r="L700">
        <v>0</v>
      </c>
    </row>
    <row r="701" spans="2:12" x14ac:dyDescent="0.25">
      <c r="B701">
        <v>45602</v>
      </c>
      <c r="C701" t="str">
        <v>LOPEZ JORGE</v>
      </c>
      <c r="D701">
        <v>71</v>
      </c>
      <c r="E701" t="str">
        <v xml:space="preserve">URANGA </v>
      </c>
      <c r="F701" t="str">
        <v>CLAVO ENDOMEDULAR</v>
      </c>
      <c r="G701" t="str">
        <v>FX DE HUMERO</v>
      </c>
      <c r="H701">
        <v>0</v>
      </c>
      <c r="I701" t="str">
        <v>ACEPTADO</v>
      </c>
      <c r="J701" t="str">
        <v>PARANÁ</v>
      </c>
      <c r="K701" t="str">
        <v>PAMI</v>
      </c>
      <c r="L701">
        <v>0</v>
      </c>
    </row>
    <row r="702" spans="2:12" x14ac:dyDescent="0.25">
      <c r="B702">
        <v>45602</v>
      </c>
      <c r="C702" t="str">
        <v>MARTINEZ LIDIA</v>
      </c>
      <c r="D702">
        <v>63</v>
      </c>
      <c r="E702" t="str">
        <v>CATRIEL GODOY</v>
      </c>
      <c r="F702" t="str">
        <v>GONARTROSIS</v>
      </c>
      <c r="G702" t="str">
        <v>PTR DERECHA</v>
      </c>
      <c r="H702">
        <v>0</v>
      </c>
      <c r="I702" t="str">
        <v>ACEPTADO</v>
      </c>
      <c r="J702" t="str">
        <v>ALCARAZ</v>
      </c>
      <c r="K702" t="str">
        <v>PAMI</v>
      </c>
      <c r="L702">
        <v>0</v>
      </c>
    </row>
    <row r="703" spans="2:12" x14ac:dyDescent="0.25">
      <c r="B703">
        <v>45602</v>
      </c>
      <c r="C703" t="str">
        <v>DAMONTE LAUTARO</v>
      </c>
      <c r="D703">
        <v>33</v>
      </c>
      <c r="E703" t="str">
        <v xml:space="preserve">URANGA </v>
      </c>
      <c r="F703" t="str">
        <v xml:space="preserve">FX FEMUR </v>
      </c>
      <c r="G703" t="str">
        <v>1 GAMMA 1 T CANULADO 3,5 MM</v>
      </c>
      <c r="H703">
        <v>0</v>
      </c>
      <c r="I703" t="str">
        <v>ACEPTADO</v>
      </c>
      <c r="J703" t="str">
        <v>PARANÁ</v>
      </c>
      <c r="K703" t="str">
        <v>S/M</v>
      </c>
      <c r="L703">
        <v>0</v>
      </c>
    </row>
    <row r="704" spans="2:12" x14ac:dyDescent="0.25">
      <c r="B704">
        <v>45603</v>
      </c>
      <c r="C704" t="str">
        <v>Arce Andres</v>
      </c>
      <c r="D704">
        <v>42</v>
      </c>
      <c r="E704" t="str">
        <v>YACOMO</v>
      </c>
      <c r="F704" t="str">
        <v>1 BOTON 1 TORNILLO</v>
      </c>
      <c r="G704" t="str">
        <v>LCA</v>
      </c>
      <c r="H704">
        <v>0</v>
      </c>
      <c r="I704" t="str">
        <v>ACEPTADO</v>
      </c>
      <c r="J704" t="str">
        <v>Paraná</v>
      </c>
      <c r="K704" t="str">
        <v>S/M</v>
      </c>
      <c r="L704">
        <v>0</v>
      </c>
    </row>
    <row r="705" spans="2:12" x14ac:dyDescent="0.25">
      <c r="B705">
        <v>45603</v>
      </c>
      <c r="C705" t="str">
        <v>BAEZ MARIA</v>
      </c>
      <c r="D705">
        <v>72</v>
      </c>
      <c r="E705" t="str">
        <v xml:space="preserve">URANGA </v>
      </c>
      <c r="F705" t="str">
        <v>FX PROXIMAL DE HUMERO</v>
      </c>
      <c r="G705" t="str">
        <v>1 PLACA PHILOS 1 TORNILLO CANU 3,5 4.5 Y 6.5</v>
      </c>
      <c r="H705">
        <v>0</v>
      </c>
      <c r="I705" t="str">
        <v>ACEPTADO</v>
      </c>
      <c r="J705" t="str">
        <v>PARANÁ</v>
      </c>
      <c r="K705" t="str">
        <v>PAMI</v>
      </c>
      <c r="L705">
        <v>0</v>
      </c>
    </row>
    <row r="706" spans="2:12" x14ac:dyDescent="0.25">
      <c r="B706">
        <v>45604</v>
      </c>
      <c r="C706" t="str">
        <v>Soñez Angel</v>
      </c>
      <c r="D706">
        <v>54</v>
      </c>
      <c r="E706" t="str">
        <v xml:space="preserve">URANGA </v>
      </c>
      <c r="F706" t="str">
        <v>Diastasis sinfisis</v>
      </c>
      <c r="G706" t="str">
        <v>5 placas 3,5 4,5 1 t canulado 4,5 1 t cortical 3,5 4,5 1 set de pelvis</v>
      </c>
      <c r="H706">
        <v>0</v>
      </c>
      <c r="I706" t="str">
        <v>ACEPTADO</v>
      </c>
      <c r="J706" t="str">
        <v>PARANÁ</v>
      </c>
      <c r="K706" t="str">
        <v>PAMI</v>
      </c>
      <c r="L706">
        <v>0</v>
      </c>
    </row>
    <row r="707" spans="2:12" x14ac:dyDescent="0.25">
      <c r="B707">
        <v>45604</v>
      </c>
      <c r="C707" t="str">
        <v>Loss Raquel</v>
      </c>
      <c r="D707">
        <v>67</v>
      </c>
      <c r="E707" t="str">
        <v>GARCIA VITOR</v>
      </c>
      <c r="F707" t="str">
        <v>gonalgia</v>
      </c>
      <c r="G707" t="str">
        <v xml:space="preserve">PTR </v>
      </c>
      <c r="H707">
        <v>0</v>
      </c>
      <c r="I707" t="str">
        <v>ACEPTADO</v>
      </c>
      <c r="J707" t="str">
        <v>PARANÁ</v>
      </c>
      <c r="K707" t="str">
        <v>PAMI</v>
      </c>
      <c r="L707">
        <v>0</v>
      </c>
    </row>
    <row r="708" spans="2:12" x14ac:dyDescent="0.25">
      <c r="B708">
        <v>45607</v>
      </c>
      <c r="C708" t="str">
        <v>CHAVEZ SANDRA</v>
      </c>
      <c r="D708">
        <v>52</v>
      </c>
      <c r="E708" t="str">
        <v>PELEGRINI</v>
      </c>
      <c r="F708" t="str">
        <v>LCA</v>
      </c>
      <c r="G708" t="str">
        <v>1 BOTON 1 TORNILLO</v>
      </c>
      <c r="H708">
        <v>0</v>
      </c>
      <c r="I708" t="str">
        <v>ACEPTADO</v>
      </c>
      <c r="J708" t="str">
        <v>LA PAZ</v>
      </c>
      <c r="K708" t="str">
        <v>S/M</v>
      </c>
      <c r="L708">
        <v>0</v>
      </c>
    </row>
    <row r="709" spans="2:12" x14ac:dyDescent="0.25">
      <c r="B709">
        <v>45607</v>
      </c>
      <c r="C709" t="str">
        <v>Alfaro Ceferina</v>
      </c>
      <c r="D709">
        <v>82</v>
      </c>
      <c r="E709" t="str">
        <v xml:space="preserve">URANGA </v>
      </c>
      <c r="F709" t="str">
        <v>fx cadera</v>
      </c>
      <c r="G709" t="str">
        <v>clavo gamma   largo</v>
      </c>
      <c r="H709">
        <v>0</v>
      </c>
      <c r="I709" t="str">
        <v>ACEPTADO</v>
      </c>
      <c r="J709" t="str">
        <v>PARANÁ</v>
      </c>
      <c r="K709" t="str">
        <v>PAMI</v>
      </c>
      <c r="L709">
        <v>0</v>
      </c>
    </row>
    <row r="710" spans="2:12" x14ac:dyDescent="0.25">
      <c r="B710">
        <v>45608</v>
      </c>
      <c r="C710" t="str">
        <v>Metz Roger</v>
      </c>
      <c r="D710">
        <v>45</v>
      </c>
      <c r="E710" t="str">
        <v>THEAUX</v>
      </c>
      <c r="F710" t="str">
        <v>Fx cadera</v>
      </c>
      <c r="G710" t="str">
        <v>ptc no cementada</v>
      </c>
      <c r="H710">
        <v>0</v>
      </c>
      <c r="I710" t="str">
        <v>ACEPTADO</v>
      </c>
      <c r="J710" t="str">
        <v>Paraná</v>
      </c>
      <c r="K710" t="str">
        <v>S/M</v>
      </c>
      <c r="L710">
        <v>0</v>
      </c>
    </row>
    <row r="711" spans="2:12" x14ac:dyDescent="0.25">
      <c r="B711">
        <v>45608</v>
      </c>
      <c r="C711" t="str">
        <v>Maldonado Alexis</v>
      </c>
      <c r="D711">
        <v>35</v>
      </c>
      <c r="E711" t="str">
        <v>VENTURI</v>
      </c>
      <c r="F711">
        <v>0</v>
      </c>
      <c r="G711" t="str">
        <v xml:space="preserve">1 TORNILLO TIPO BAROUK </v>
      </c>
      <c r="H711">
        <v>0</v>
      </c>
      <c r="I711" t="str">
        <v>ACEPTADO</v>
      </c>
      <c r="J711" t="str">
        <v>LUCAS GONZALEZ</v>
      </c>
      <c r="K711" t="str">
        <v>S/M</v>
      </c>
      <c r="L711">
        <v>0</v>
      </c>
    </row>
    <row r="712" spans="2:12" x14ac:dyDescent="0.25">
      <c r="B712">
        <v>45608</v>
      </c>
      <c r="C712" t="str">
        <v>Marchioli Carlos</v>
      </c>
      <c r="D712">
        <v>67</v>
      </c>
      <c r="E712" t="str">
        <v>VENTURI</v>
      </c>
      <c r="F712" t="str">
        <v>artrosis</v>
      </c>
      <c r="G712" t="str">
        <v>ptr anatomica</v>
      </c>
      <c r="H712">
        <v>0</v>
      </c>
      <c r="I712" t="str">
        <v>ACEPTADO</v>
      </c>
      <c r="J712" t="str">
        <v>PARANÁ</v>
      </c>
      <c r="K712" t="str">
        <v>PAMI</v>
      </c>
      <c r="L712">
        <v>0</v>
      </c>
    </row>
    <row r="713" spans="2:12" x14ac:dyDescent="0.25">
      <c r="B713">
        <v>45608</v>
      </c>
      <c r="C713" t="str">
        <v>Breccia Mirta</v>
      </c>
      <c r="D713">
        <v>77</v>
      </c>
      <c r="E713" t="str">
        <v>GARCIA VITOR</v>
      </c>
      <c r="F713" t="str">
        <v>OSTEOARTRITIS DE CADERA</v>
      </c>
      <c r="G713" t="str">
        <v>PTC CEMENTADA COTILO DOBLE MOV</v>
      </c>
      <c r="H713">
        <v>0</v>
      </c>
      <c r="I713" t="str">
        <v>ACEPTADO</v>
      </c>
      <c r="J713" t="str">
        <v>PARANÁ</v>
      </c>
      <c r="K713" t="str">
        <v>PAMI</v>
      </c>
      <c r="L713">
        <v>0</v>
      </c>
    </row>
    <row r="714" spans="2:12" x14ac:dyDescent="0.25">
      <c r="B714">
        <v>45610</v>
      </c>
      <c r="C714" t="str">
        <v>Gonzalez Juan</v>
      </c>
      <c r="D714">
        <v>45</v>
      </c>
      <c r="E714" t="str">
        <v>CESAR MEYNET</v>
      </c>
      <c r="F714" t="str">
        <v>coxalgia</v>
      </c>
      <c r="G714" t="str">
        <v xml:space="preserve">1 ptc no cementada </v>
      </c>
      <c r="H714">
        <v>0</v>
      </c>
      <c r="I714" t="str">
        <v>ACEPTADO</v>
      </c>
      <c r="J714" t="str">
        <v>Paraná</v>
      </c>
      <c r="K714" t="str">
        <v>S/M</v>
      </c>
      <c r="L714">
        <v>0</v>
      </c>
    </row>
    <row r="715" spans="2:12" x14ac:dyDescent="0.25">
      <c r="B715">
        <v>45610</v>
      </c>
      <c r="C715" t="str">
        <v>ACOSTA FERNANDO</v>
      </c>
      <c r="D715">
        <v>31</v>
      </c>
      <c r="E715" t="str">
        <v>YACOMO</v>
      </c>
      <c r="F715">
        <v>0</v>
      </c>
      <c r="G715" t="str">
        <v>1 BOTON 1 TORNILLO PUNTA DE SHAVER</v>
      </c>
      <c r="H715">
        <v>0</v>
      </c>
      <c r="I715" t="str">
        <v>ACEPTADO</v>
      </c>
      <c r="J715" t="str">
        <v>CRESPO</v>
      </c>
      <c r="K715" t="str">
        <v>S/M</v>
      </c>
      <c r="L715">
        <v>0</v>
      </c>
    </row>
    <row r="716" spans="2:12" x14ac:dyDescent="0.25">
      <c r="B716">
        <v>45611</v>
      </c>
      <c r="C716" t="str">
        <v>Arzamendia Rodolfo</v>
      </c>
      <c r="D716">
        <v>54</v>
      </c>
      <c r="E716" t="str">
        <v>THEAUX</v>
      </c>
      <c r="F716" t="str">
        <v>Genu Varo</v>
      </c>
      <c r="G716" t="str">
        <v>1 ptr cementada</v>
      </c>
      <c r="H716">
        <v>0</v>
      </c>
      <c r="I716" t="str">
        <v>ACEPTADO</v>
      </c>
      <c r="J716" t="str">
        <v>PARANÁ</v>
      </c>
      <c r="K716" t="str">
        <v>S/M</v>
      </c>
      <c r="L716">
        <v>0</v>
      </c>
    </row>
    <row r="717" spans="2:12" x14ac:dyDescent="0.25">
      <c r="B717">
        <v>45611</v>
      </c>
      <c r="C717" t="str">
        <v>Aguilar Juan</v>
      </c>
      <c r="D717">
        <v>60</v>
      </c>
      <c r="E717" t="str">
        <v xml:space="preserve">URANGA </v>
      </c>
      <c r="F717" t="str">
        <v>Diastasis sinfisis</v>
      </c>
      <c r="G717" t="str">
        <v>5 placas 3,5 4,5 1 t canulado 4,5 1 t cortical 3,5 4,5 1 set de pelvis</v>
      </c>
      <c r="H717">
        <v>0</v>
      </c>
      <c r="I717" t="str">
        <v>ACEPTADO</v>
      </c>
      <c r="J717" t="str">
        <v>PARANÁ</v>
      </c>
      <c r="K717" t="str">
        <v>PAMI</v>
      </c>
      <c r="L717">
        <v>0</v>
      </c>
    </row>
    <row r="718" spans="2:12" x14ac:dyDescent="0.25">
      <c r="B718">
        <v>45611</v>
      </c>
      <c r="C718" t="str">
        <v>Ramirez Victor</v>
      </c>
      <c r="D718">
        <v>63</v>
      </c>
      <c r="E718" t="str">
        <v xml:space="preserve">URANGA </v>
      </c>
      <c r="F718" t="str">
        <v xml:space="preserve">Fx femur </v>
      </c>
      <c r="G718" t="str">
        <v>1Placa condilea para femur 4,5 1 clavo retrogrado</v>
      </c>
      <c r="H718">
        <v>0</v>
      </c>
      <c r="I718" t="str">
        <v>ACEPTADO</v>
      </c>
      <c r="J718" t="str">
        <v>PARANÁ</v>
      </c>
      <c r="K718" t="str">
        <v>PAMI</v>
      </c>
      <c r="L718">
        <v>0</v>
      </c>
    </row>
    <row r="719" spans="2:12" x14ac:dyDescent="0.25">
      <c r="B719">
        <v>45611</v>
      </c>
      <c r="C719" t="str">
        <v>MOLINA MARIA</v>
      </c>
      <c r="D719">
        <v>66</v>
      </c>
      <c r="E719" t="str">
        <v xml:space="preserve">URANGA </v>
      </c>
      <c r="F719" t="str">
        <v>FX PERONE</v>
      </c>
      <c r="G719" t="str">
        <v>1 PLACA TERCIO TUBO</v>
      </c>
      <c r="H719">
        <v>0</v>
      </c>
      <c r="I719" t="str">
        <v>ACEPTADO</v>
      </c>
      <c r="J719" t="str">
        <v>PARANÁ</v>
      </c>
      <c r="K719" t="str">
        <v>PAMI</v>
      </c>
      <c r="L719">
        <v>0</v>
      </c>
    </row>
    <row r="720" spans="2:12" x14ac:dyDescent="0.25">
      <c r="B720">
        <v>45616</v>
      </c>
      <c r="C720" t="str">
        <v>GODETTI MARIA</v>
      </c>
      <c r="D720">
        <v>0</v>
      </c>
      <c r="E720" t="str">
        <v xml:space="preserve">URANGA </v>
      </c>
      <c r="F720" t="str">
        <v>FX DE MUÑECA</v>
      </c>
      <c r="G720" t="str">
        <v>PLACA edr hilera distal 2,7/3,5</v>
      </c>
      <c r="H720">
        <v>0</v>
      </c>
      <c r="I720" t="str">
        <v>ACEPTADO</v>
      </c>
      <c r="J720" t="str">
        <v>PARANÁ</v>
      </c>
      <c r="K720" t="str">
        <v>PAMI</v>
      </c>
      <c r="L720">
        <v>0</v>
      </c>
    </row>
    <row r="721" spans="2:12" x14ac:dyDescent="0.25">
      <c r="B721">
        <v>45616</v>
      </c>
      <c r="C721" t="str">
        <v>GOMEZ PATRICIA</v>
      </c>
      <c r="D721">
        <v>50</v>
      </c>
      <c r="E721" t="str">
        <v>JACOB</v>
      </c>
      <c r="F721" t="str">
        <v>INESTABILIDAD LUMBAR</v>
      </c>
      <c r="G721" t="str">
        <v>1CAGE1DOSIS DE SUSTITUTO 1 SIST DE COLOCACON A PRESTAMO P EVOCADOS</v>
      </c>
      <c r="H721">
        <v>0</v>
      </c>
      <c r="I721" t="str">
        <v>ACEPTADO</v>
      </c>
      <c r="J721">
        <v>0</v>
      </c>
      <c r="K721" t="str">
        <v>S/M</v>
      </c>
      <c r="L721">
        <v>0</v>
      </c>
    </row>
    <row r="722" spans="2:12" x14ac:dyDescent="0.25">
      <c r="B722">
        <v>45616</v>
      </c>
      <c r="C722" t="str">
        <v>RAU JEREMIAS</v>
      </c>
      <c r="D722">
        <v>22</v>
      </c>
      <c r="E722" t="str">
        <v>CATRIEL GODOY</v>
      </c>
      <c r="F722" t="str">
        <v>PSEUDOATROSIS</v>
      </c>
      <c r="G722" t="str">
        <v>1 TUTOR EXTERNO PARA TIBIA</v>
      </c>
      <c r="H722">
        <v>0</v>
      </c>
      <c r="I722" t="str">
        <v>ACEPTADO</v>
      </c>
      <c r="J722" t="str">
        <v>LUCAS GONZALEZ</v>
      </c>
      <c r="K722" t="str">
        <v>S/M</v>
      </c>
      <c r="L722">
        <v>0</v>
      </c>
    </row>
    <row r="723" spans="2:12" x14ac:dyDescent="0.25">
      <c r="B723">
        <v>45616</v>
      </c>
      <c r="C723" t="str">
        <v xml:space="preserve">Colman Gonzalo </v>
      </c>
      <c r="D723">
        <v>31</v>
      </c>
      <c r="E723" t="str">
        <v>CATRIEL GODOY</v>
      </c>
      <c r="F723" t="str">
        <v>FX DE RADIO Y CUBITO</v>
      </c>
      <c r="G723" t="str">
        <v>1 PLACA DCP 3.5</v>
      </c>
      <c r="H723">
        <v>0</v>
      </c>
      <c r="I723" t="str">
        <v>ACEPTADO</v>
      </c>
      <c r="J723" t="str">
        <v>GRAL RAMIREZ</v>
      </c>
      <c r="K723" t="str">
        <v>S/M</v>
      </c>
      <c r="L723">
        <v>0</v>
      </c>
    </row>
    <row r="724" spans="2:12" x14ac:dyDescent="0.25">
      <c r="B724">
        <v>45616</v>
      </c>
      <c r="C724" t="str">
        <v>SANABRIA MATIAS</v>
      </c>
      <c r="D724">
        <v>35</v>
      </c>
      <c r="E724" t="str">
        <v>MERLINI</v>
      </c>
      <c r="F724" t="str">
        <v>FX ESPINA TIBIAL DERECHA</v>
      </c>
      <c r="G724" t="str">
        <v>2 SUTURAS 1 GUIA 1 ATRAPA SUT 1 SIST ANC 1 MECHA CAN 1 BOTON</v>
      </c>
      <c r="H724">
        <v>0</v>
      </c>
      <c r="I724" t="str">
        <v>ACEPTADO</v>
      </c>
      <c r="J724">
        <v>0</v>
      </c>
      <c r="K724" t="str">
        <v>S/M</v>
      </c>
      <c r="L724">
        <v>0</v>
      </c>
    </row>
    <row r="725" spans="2:12" x14ac:dyDescent="0.25">
      <c r="B725">
        <v>45616</v>
      </c>
      <c r="C725" t="str">
        <v>SILVA ISIDRA</v>
      </c>
      <c r="D725">
        <v>82</v>
      </c>
      <c r="E725" t="str">
        <v xml:space="preserve">URANGA </v>
      </c>
      <c r="F725" t="str">
        <v>PTC THOMPSON</v>
      </c>
      <c r="G725" t="str">
        <v>FX CADERA IZQ</v>
      </c>
      <c r="H725">
        <v>0</v>
      </c>
      <c r="I725" t="str">
        <v>ACEPTADO</v>
      </c>
      <c r="J725" t="str">
        <v>PARANÁ</v>
      </c>
      <c r="K725" t="str">
        <v>PAMI</v>
      </c>
      <c r="L725">
        <v>0</v>
      </c>
    </row>
    <row r="726" spans="2:12" x14ac:dyDescent="0.25">
      <c r="B726">
        <v>45616</v>
      </c>
      <c r="C726" t="str">
        <v>COUDRON NOEMI</v>
      </c>
      <c r="D726">
        <v>94</v>
      </c>
      <c r="E726" t="str">
        <v xml:space="preserve">URANGA </v>
      </c>
      <c r="F726" t="str">
        <v>PTC THOMPSON</v>
      </c>
      <c r="G726" t="str">
        <v>FX CADERA IZQ</v>
      </c>
      <c r="H726">
        <v>0</v>
      </c>
      <c r="I726" t="str">
        <v>ACEPTADO</v>
      </c>
      <c r="J726" t="str">
        <v>PARANÁ</v>
      </c>
      <c r="K726" t="str">
        <v>PAMI</v>
      </c>
      <c r="L726">
        <v>0</v>
      </c>
    </row>
    <row r="727" spans="2:12" x14ac:dyDescent="0.25">
      <c r="B727">
        <v>45616</v>
      </c>
      <c r="C727" t="str">
        <v>LOPEZ ANTONIO</v>
      </c>
      <c r="D727">
        <v>77</v>
      </c>
      <c r="E727" t="str">
        <v xml:space="preserve">URANGA </v>
      </c>
      <c r="F727" t="str">
        <v>ESPACIADOR</v>
      </c>
      <c r="G727" t="str">
        <v>INFECCION EN SITIO QX</v>
      </c>
      <c r="H727">
        <v>0</v>
      </c>
      <c r="I727" t="str">
        <v>ACEPTADO</v>
      </c>
      <c r="J727" t="str">
        <v>PARANÁ</v>
      </c>
      <c r="K727" t="str">
        <v>PAMI</v>
      </c>
      <c r="L727">
        <v>0</v>
      </c>
    </row>
    <row r="728" spans="2:12" x14ac:dyDescent="0.25">
      <c r="B728">
        <v>45616</v>
      </c>
      <c r="C728" t="str">
        <v>ESCOBAR SILVANA</v>
      </c>
      <c r="D728">
        <v>44</v>
      </c>
      <c r="E728" t="str">
        <v>COLLOMB</v>
      </c>
      <c r="F728" t="str">
        <v>RUP TENDON</v>
      </c>
      <c r="G728" t="str">
        <v xml:space="preserve">2 ARPONES </v>
      </c>
      <c r="H728">
        <v>0</v>
      </c>
      <c r="I728" t="str">
        <v>ACEPTADO</v>
      </c>
      <c r="J728" t="str">
        <v>CRESPO</v>
      </c>
      <c r="K728" t="str">
        <v>S/M</v>
      </c>
      <c r="L728">
        <v>0</v>
      </c>
    </row>
    <row r="729" spans="2:12" x14ac:dyDescent="0.25">
      <c r="B729">
        <v>45616</v>
      </c>
      <c r="C729" t="str">
        <v>SANTA CRUZ NICOLAS</v>
      </c>
      <c r="D729">
        <v>25</v>
      </c>
      <c r="E729" t="str">
        <v>CESAR MEYNET</v>
      </c>
      <c r="F729" t="str">
        <v>LCA</v>
      </c>
      <c r="G729" t="str">
        <v>1 BOTON 1 TORNILLO</v>
      </c>
      <c r="H729">
        <v>0</v>
      </c>
      <c r="I729" t="str">
        <v>ACEPTADO</v>
      </c>
      <c r="J729" t="str">
        <v xml:space="preserve">SANTA ELENA </v>
      </c>
      <c r="K729" t="str">
        <v>S/M</v>
      </c>
      <c r="L729">
        <v>0</v>
      </c>
    </row>
    <row r="730" spans="2:12" x14ac:dyDescent="0.25">
      <c r="B730">
        <v>45617</v>
      </c>
      <c r="C730" t="str">
        <v>MIÑO LUCRECIA</v>
      </c>
      <c r="D730">
        <v>0</v>
      </c>
      <c r="E730" t="str">
        <v>GARCIA VITOR</v>
      </c>
      <c r="F730" t="str">
        <v>LUXACION DE CADERA</v>
      </c>
      <c r="G730" t="str">
        <v>ptc no cementada</v>
      </c>
      <c r="H730">
        <v>0</v>
      </c>
      <c r="I730" t="str">
        <v>ACEPTADO</v>
      </c>
      <c r="J730" t="str">
        <v>SEGUI</v>
      </c>
      <c r="K730" t="str">
        <v>S/M</v>
      </c>
      <c r="L730">
        <v>0</v>
      </c>
    </row>
    <row r="731" spans="2:12" x14ac:dyDescent="0.25">
      <c r="B731">
        <v>45617</v>
      </c>
      <c r="C731" t="str">
        <v>GEA SANCHEZ JOSE</v>
      </c>
      <c r="D731">
        <v>47</v>
      </c>
      <c r="E731" t="str">
        <v>YACOMO</v>
      </c>
      <c r="F731">
        <v>0</v>
      </c>
      <c r="G731" t="str">
        <v>3 ARPONES 5MM</v>
      </c>
      <c r="H731">
        <v>0</v>
      </c>
      <c r="I731" t="str">
        <v>ACEPTADO</v>
      </c>
      <c r="J731" t="str">
        <v>PARANÁ</v>
      </c>
      <c r="K731" t="str">
        <v>S/M</v>
      </c>
      <c r="L731">
        <v>0</v>
      </c>
    </row>
    <row r="732" spans="2:12" x14ac:dyDescent="0.25">
      <c r="B732">
        <v>45617</v>
      </c>
      <c r="C732" t="str">
        <v>Lescano Mari</v>
      </c>
      <c r="D732">
        <v>89</v>
      </c>
      <c r="E732" t="str">
        <v xml:space="preserve">URANGA </v>
      </c>
      <c r="F732" t="str">
        <v>Fx proximal de humero</v>
      </c>
      <c r="G732" t="str">
        <v>1 placa philos 1 t cnulados 3,4 4,5 6,5 mm</v>
      </c>
      <c r="H732">
        <v>0</v>
      </c>
      <c r="I732" t="str">
        <v>ACEPTADO</v>
      </c>
      <c r="J732" t="str">
        <v>PARANÁ</v>
      </c>
      <c r="K732" t="str">
        <v>PAMI</v>
      </c>
      <c r="L732">
        <v>0</v>
      </c>
    </row>
    <row r="733" spans="2:12" x14ac:dyDescent="0.25">
      <c r="B733">
        <v>45618</v>
      </c>
      <c r="C733" t="str">
        <v>BERNINI MARIA</v>
      </c>
      <c r="D733">
        <v>0</v>
      </c>
      <c r="E733" t="str">
        <v xml:space="preserve">URANGA </v>
      </c>
      <c r="F733" t="str">
        <v>FX PROXIMAL DE HUMERO</v>
      </c>
      <c r="G733" t="str">
        <v>1 PLACA PHILOS 1 TORNILLO CANU 3,5 4.5 Y 6.5</v>
      </c>
      <c r="H733">
        <v>0</v>
      </c>
      <c r="I733" t="str">
        <v>ACEPTADO</v>
      </c>
      <c r="J733" t="str">
        <v>PARANÁ</v>
      </c>
      <c r="K733" t="str">
        <v>PAMI</v>
      </c>
      <c r="L733">
        <v>0</v>
      </c>
    </row>
    <row r="734" spans="2:12" x14ac:dyDescent="0.25">
      <c r="B734">
        <v>45621</v>
      </c>
      <c r="C734" t="str">
        <v>CAMPISTROUS ELSA</v>
      </c>
      <c r="D734">
        <v>94</v>
      </c>
      <c r="E734" t="str">
        <v xml:space="preserve">URANGA </v>
      </c>
      <c r="F734" t="str">
        <v>FX CADERA</v>
      </c>
      <c r="G734" t="str">
        <v>CLAVO GAMMA</v>
      </c>
      <c r="H734">
        <v>0</v>
      </c>
      <c r="I734" t="str">
        <v>ACEPTADO</v>
      </c>
      <c r="J734" t="str">
        <v>PARANÁ</v>
      </c>
      <c r="K734" t="str">
        <v>PAMI</v>
      </c>
      <c r="L734">
        <v>0</v>
      </c>
    </row>
    <row r="735" spans="2:12" x14ac:dyDescent="0.25">
      <c r="B735">
        <v>45621</v>
      </c>
      <c r="C735" t="str">
        <v xml:space="preserve">AUBERT GLADYS </v>
      </c>
      <c r="D735">
        <v>67</v>
      </c>
      <c r="E735" t="str">
        <v>MERLINI</v>
      </c>
      <c r="F735" t="str">
        <v>PLACA EDR</v>
      </c>
      <c r="G735" t="str">
        <v>FX MUÑECA</v>
      </c>
      <c r="H735">
        <v>0</v>
      </c>
      <c r="I735" t="str">
        <v>ACEPTADO</v>
      </c>
      <c r="J735" t="str">
        <v>PARANÁ</v>
      </c>
      <c r="K735" t="str">
        <v>PAMI</v>
      </c>
      <c r="L735">
        <v>0</v>
      </c>
    </row>
    <row r="736" spans="2:12" x14ac:dyDescent="0.25">
      <c r="B736">
        <v>45622</v>
      </c>
      <c r="C736" t="str">
        <v>AXT ROMUALDO</v>
      </c>
      <c r="D736">
        <v>76</v>
      </c>
      <c r="E736" t="str">
        <v>MERLINI</v>
      </c>
      <c r="F736" t="str">
        <v>GAMMA</v>
      </c>
      <c r="G736" t="str">
        <v>FX CADERA IZQ</v>
      </c>
      <c r="H736">
        <v>0</v>
      </c>
      <c r="I736" t="str">
        <v>ACEPTADO</v>
      </c>
      <c r="J736" t="str">
        <v>PARANÁ</v>
      </c>
      <c r="K736" t="str">
        <v>PAMI</v>
      </c>
      <c r="L736">
        <v>0</v>
      </c>
    </row>
    <row r="737" spans="2:12" x14ac:dyDescent="0.25">
      <c r="B737">
        <v>45622</v>
      </c>
      <c r="C737" t="str">
        <v>ESPINDOLA ALEXIS</v>
      </c>
      <c r="D737">
        <v>24</v>
      </c>
      <c r="E737" t="str">
        <v xml:space="preserve">HERMIDA </v>
      </c>
      <c r="F737" t="str">
        <v>LCA</v>
      </c>
      <c r="G737" t="str">
        <v>1 BOTON 1 TORNILLO</v>
      </c>
      <c r="H737">
        <v>0</v>
      </c>
      <c r="I737" t="str">
        <v>ACEPTADO</v>
      </c>
      <c r="J737" t="str">
        <v>BOVRIL</v>
      </c>
      <c r="K737" t="str">
        <v>S/M</v>
      </c>
      <c r="L737">
        <v>0</v>
      </c>
    </row>
    <row r="738" spans="2:12" x14ac:dyDescent="0.25">
      <c r="B738">
        <v>45622</v>
      </c>
      <c r="C738" t="str">
        <v>PUNTIN MARIA LOURDES</v>
      </c>
      <c r="D738">
        <v>28</v>
      </c>
      <c r="E738" t="str">
        <v xml:space="preserve">HERMIDA </v>
      </c>
      <c r="F738" t="str">
        <v>LCA</v>
      </c>
      <c r="G738" t="str">
        <v>1 BOTON 1 TORNILLO</v>
      </c>
      <c r="H738">
        <v>0</v>
      </c>
      <c r="I738" t="str">
        <v>ACEPTADO</v>
      </c>
      <c r="J738" t="str">
        <v>PARANÁ</v>
      </c>
      <c r="K738" t="str">
        <v>S/M</v>
      </c>
      <c r="L738">
        <v>0</v>
      </c>
    </row>
    <row r="739" spans="2:12" x14ac:dyDescent="0.25">
      <c r="B739">
        <v>45622</v>
      </c>
      <c r="C739" t="str">
        <v>MOLINA ALICIA</v>
      </c>
      <c r="D739">
        <v>44</v>
      </c>
      <c r="E739" t="str">
        <v>GARCIA VITOR</v>
      </c>
      <c r="F739" t="str">
        <v>OSTEOARTRITIS DE CADERA</v>
      </c>
      <c r="G739" t="str">
        <v>ptc no cementada</v>
      </c>
      <c r="H739">
        <v>0</v>
      </c>
      <c r="I739" t="str">
        <v>ACEPTADO</v>
      </c>
      <c r="J739" t="str">
        <v>PARANÁ</v>
      </c>
      <c r="K739" t="str">
        <v>S/M</v>
      </c>
      <c r="L739">
        <v>0</v>
      </c>
    </row>
    <row r="740" spans="2:12" x14ac:dyDescent="0.25">
      <c r="B740">
        <v>45622</v>
      </c>
      <c r="C740" t="str">
        <v>RUIZ DIAZ DAIANA</v>
      </c>
      <c r="D740">
        <v>41</v>
      </c>
      <c r="E740" t="str">
        <v>NARVAEZ</v>
      </c>
      <c r="F740" t="str">
        <v>HALLUX VALGUS</v>
      </c>
      <c r="G740" t="str">
        <v>T CANULADO O BAROUK</v>
      </c>
      <c r="H740">
        <v>0</v>
      </c>
      <c r="I740" t="str">
        <v>ACEPTADO</v>
      </c>
      <c r="J740" t="str">
        <v>PARANÁ</v>
      </c>
      <c r="K740" t="str">
        <v>S/M</v>
      </c>
      <c r="L740">
        <v>0</v>
      </c>
    </row>
    <row r="741" spans="2:12" x14ac:dyDescent="0.25">
      <c r="B741">
        <v>45622</v>
      </c>
      <c r="C741" t="str">
        <v>ZATTI OMAR</v>
      </c>
      <c r="D741">
        <v>64</v>
      </c>
      <c r="E741" t="str">
        <v>GARCIA VITOR</v>
      </c>
      <c r="F741" t="str">
        <v>OSTEOARTRITIS DE CADERA</v>
      </c>
      <c r="G741" t="str">
        <v>ptc no cementada</v>
      </c>
      <c r="H741">
        <v>0</v>
      </c>
      <c r="I741" t="str">
        <v>ACEPTADO</v>
      </c>
      <c r="J741" t="str">
        <v>NOGOYA</v>
      </c>
      <c r="K741" t="str">
        <v>S/M</v>
      </c>
      <c r="L741">
        <v>0</v>
      </c>
    </row>
    <row r="742" spans="2:12" x14ac:dyDescent="0.25">
      <c r="B742">
        <v>45623</v>
      </c>
      <c r="C742" t="str">
        <v>CASTRO RUBEN</v>
      </c>
      <c r="D742">
        <v>73</v>
      </c>
      <c r="E742" t="str">
        <v>GARCIA VITOR</v>
      </c>
      <c r="F742" t="str">
        <v>GONARTROSIS</v>
      </c>
      <c r="G742" t="str">
        <v>1 ptr cementada</v>
      </c>
      <c r="H742">
        <v>0</v>
      </c>
      <c r="I742" t="str">
        <v>ACEPTADO</v>
      </c>
      <c r="J742" t="str">
        <v xml:space="preserve">SANTA ELENA </v>
      </c>
      <c r="K742" t="str">
        <v>S/M</v>
      </c>
      <c r="L742">
        <v>0</v>
      </c>
    </row>
    <row r="743" spans="2:12" x14ac:dyDescent="0.25">
      <c r="B743">
        <v>45624</v>
      </c>
      <c r="C743" t="str">
        <v>SUAREZ ELVIRA</v>
      </c>
      <c r="D743">
        <v>71</v>
      </c>
      <c r="E743" t="str">
        <v xml:space="preserve">URANGA </v>
      </c>
      <c r="F743" t="str">
        <v>FX HUMERO</v>
      </c>
      <c r="G743" t="str">
        <v>1 PLACA PHILOS 1 TORNILLO CANU 3,5 4.5 Y 6.5</v>
      </c>
      <c r="H743">
        <v>0</v>
      </c>
      <c r="I743" t="str">
        <v>ACEPTADO</v>
      </c>
      <c r="J743" t="str">
        <v>PARANÁ</v>
      </c>
      <c r="K743" t="str">
        <v>PAMI</v>
      </c>
      <c r="L743">
        <v>0</v>
      </c>
    </row>
    <row r="744" spans="2:12" x14ac:dyDescent="0.25">
      <c r="B744">
        <v>45625</v>
      </c>
      <c r="C744" t="str">
        <v>ARACENAS MORENO</v>
      </c>
      <c r="D744">
        <v>27</v>
      </c>
      <c r="E744" t="str">
        <v xml:space="preserve">HERMIDA </v>
      </c>
      <c r="F744" t="str">
        <v>LCA</v>
      </c>
      <c r="G744" t="str">
        <v>1 BOTON 1 TORNILLO</v>
      </c>
      <c r="H744">
        <v>0</v>
      </c>
      <c r="I744" t="str">
        <v>ACEPTADO</v>
      </c>
      <c r="J744" t="str">
        <v>VILLAGUAY</v>
      </c>
      <c r="K744" t="str">
        <v>S/M</v>
      </c>
      <c r="L744">
        <v>0</v>
      </c>
    </row>
    <row r="745" spans="2:12" x14ac:dyDescent="0.25">
      <c r="B745">
        <v>45625</v>
      </c>
      <c r="C745" t="str">
        <v>BERNET YOLANDA</v>
      </c>
      <c r="D745">
        <v>76</v>
      </c>
      <c r="E745" t="str">
        <v xml:space="preserve">URANGA </v>
      </c>
      <c r="F745" t="str">
        <v>FX CADERA</v>
      </c>
      <c r="G745" t="str">
        <v>1 CLAVO GAMMA</v>
      </c>
      <c r="H745">
        <v>0</v>
      </c>
      <c r="I745" t="str">
        <v>ACEPTADO</v>
      </c>
      <c r="J745" t="str">
        <v>PARANÁ</v>
      </c>
      <c r="K745" t="str">
        <v>S/M</v>
      </c>
      <c r="L745">
        <v>0</v>
      </c>
    </row>
    <row r="746" spans="2:12" x14ac:dyDescent="0.25">
      <c r="B746">
        <v>45628</v>
      </c>
      <c r="C746" t="str">
        <v>Quiroga Brian</v>
      </c>
      <c r="D746">
        <v>24</v>
      </c>
      <c r="E746" t="str">
        <v>PELEGRINI</v>
      </c>
      <c r="F746" t="str">
        <v>LCA</v>
      </c>
      <c r="G746" t="str">
        <v>1 boton 1 tornillo</v>
      </c>
      <c r="H746">
        <v>0</v>
      </c>
      <c r="I746" t="str">
        <v>ACEPTADO</v>
      </c>
      <c r="J746" t="str">
        <v>C del Uruguay</v>
      </c>
      <c r="K746" t="str">
        <v>S/M</v>
      </c>
      <c r="L746">
        <v>0</v>
      </c>
    </row>
    <row r="747" spans="2:12" x14ac:dyDescent="0.25">
      <c r="B747">
        <v>45628</v>
      </c>
      <c r="C747" t="str">
        <v>Muñoz Matias</v>
      </c>
      <c r="D747">
        <v>19</v>
      </c>
      <c r="E747" t="str">
        <v>PELEGRINI</v>
      </c>
      <c r="F747" t="str">
        <v>LCA</v>
      </c>
      <c r="G747" t="str">
        <v>1 boton 1 tornillo</v>
      </c>
      <c r="H747">
        <v>0</v>
      </c>
      <c r="I747" t="str">
        <v>ACEPTADO</v>
      </c>
      <c r="J747" t="str">
        <v>PARANÁ</v>
      </c>
      <c r="K747" t="str">
        <v>S/M</v>
      </c>
      <c r="L747">
        <v>0</v>
      </c>
    </row>
    <row r="748" spans="2:12" x14ac:dyDescent="0.25">
      <c r="B748">
        <v>45629</v>
      </c>
      <c r="C748" t="str">
        <v>Ubiedo Maria</v>
      </c>
      <c r="D748">
        <v>67</v>
      </c>
      <c r="E748" t="str">
        <v xml:space="preserve">HERMIDA </v>
      </c>
      <c r="F748" t="str">
        <v>fx muñeca</v>
      </c>
      <c r="G748" t="str">
        <v>placa edr doble hilera</v>
      </c>
      <c r="H748">
        <v>0</v>
      </c>
      <c r="I748" t="str">
        <v>ACEPTADO</v>
      </c>
      <c r="J748" t="str">
        <v>PARANÁ</v>
      </c>
      <c r="K748" t="str">
        <v>PAMI</v>
      </c>
      <c r="L748">
        <v>0</v>
      </c>
    </row>
    <row r="749" spans="2:12" x14ac:dyDescent="0.25">
      <c r="B749">
        <v>45630</v>
      </c>
      <c r="C749" t="str">
        <v>Geist Ramon</v>
      </c>
      <c r="D749">
        <v>65</v>
      </c>
      <c r="E749" t="str">
        <v>GARCIA VITOR</v>
      </c>
      <c r="F749" t="str">
        <v>Pseudoartrosis de tibia</v>
      </c>
      <c r="G749" t="str">
        <v>1 clavo endomedular 1 destornillador</v>
      </c>
      <c r="H749">
        <v>0</v>
      </c>
      <c r="I749" t="str">
        <v>ACEPTADO</v>
      </c>
      <c r="J749" t="str">
        <v>DIAMANTE</v>
      </c>
      <c r="K749" t="str">
        <v>S/M</v>
      </c>
      <c r="L749">
        <v>0</v>
      </c>
    </row>
    <row r="750" spans="2:12" x14ac:dyDescent="0.25">
      <c r="B750">
        <v>45630</v>
      </c>
      <c r="C750" t="str">
        <v>Ojeda Irina</v>
      </c>
      <c r="D750">
        <v>26</v>
      </c>
      <c r="E750" t="str">
        <v xml:space="preserve">HERMIDA </v>
      </c>
      <c r="F750" t="str">
        <v>LCA</v>
      </c>
      <c r="G750" t="str">
        <v>1 boton 1 tornillo</v>
      </c>
      <c r="H750">
        <v>0</v>
      </c>
      <c r="I750" t="str">
        <v>ACEPTADO</v>
      </c>
      <c r="J750" t="str">
        <v>Villaguay</v>
      </c>
      <c r="K750" t="str">
        <v>S/M</v>
      </c>
      <c r="L750">
        <v>0</v>
      </c>
    </row>
    <row r="751" spans="2:12" x14ac:dyDescent="0.25">
      <c r="B751">
        <v>45635</v>
      </c>
      <c r="C751" t="str">
        <v>Romeo Rosa</v>
      </c>
      <c r="D751">
        <v>53</v>
      </c>
      <c r="E751" t="str">
        <v>UCEDO</v>
      </c>
      <c r="F751" t="str">
        <v>Hallux Valgus</v>
      </c>
      <c r="G751" t="str">
        <v>1 torn tipo herbert</v>
      </c>
      <c r="H751">
        <v>0</v>
      </c>
      <c r="I751" t="str">
        <v>ACEPTADO</v>
      </c>
      <c r="J751" t="str">
        <v>CERRITO</v>
      </c>
      <c r="K751" t="str">
        <v>S/M</v>
      </c>
      <c r="L751">
        <v>0</v>
      </c>
    </row>
    <row r="752" spans="2:12" x14ac:dyDescent="0.25">
      <c r="B752">
        <v>45635</v>
      </c>
      <c r="C752" t="str">
        <v>Iris Daiana</v>
      </c>
      <c r="D752">
        <v>34</v>
      </c>
      <c r="E752" t="str">
        <v>UCEDO</v>
      </c>
      <c r="F752" t="str">
        <v>artrosis periastragalina</v>
      </c>
      <c r="G752" t="str">
        <v xml:space="preserve">1 clavo de tibia endomedular acerrojado1 placa tercio de tubo </v>
      </c>
      <c r="H752">
        <v>0</v>
      </c>
      <c r="I752" t="str">
        <v>ACEPTADO</v>
      </c>
      <c r="J752" t="str">
        <v>Federal</v>
      </c>
      <c r="K752" t="str">
        <v>S/M</v>
      </c>
      <c r="L752">
        <v>0</v>
      </c>
    </row>
    <row r="753" spans="2:12" x14ac:dyDescent="0.25">
      <c r="B753">
        <v>45635</v>
      </c>
      <c r="C753" t="str">
        <v>Grandoli Micaela</v>
      </c>
      <c r="D753">
        <v>75</v>
      </c>
      <c r="E753" t="str">
        <v>UCEDO</v>
      </c>
      <c r="F753" t="str">
        <v>Hallux Valgus</v>
      </c>
      <c r="G753" t="str">
        <v>1T barouk 2 clavijas 2,0 y 2 1,5 mm</v>
      </c>
      <c r="H753">
        <v>0</v>
      </c>
      <c r="I753" t="str">
        <v>ACEPTADO</v>
      </c>
      <c r="J753" t="str">
        <v>PARANÁ</v>
      </c>
      <c r="K753" t="str">
        <v>PAMI</v>
      </c>
      <c r="L753">
        <v>0</v>
      </c>
    </row>
    <row r="754" spans="2:12" x14ac:dyDescent="0.25">
      <c r="B754">
        <v>45638</v>
      </c>
      <c r="C754" t="str">
        <v>Aprile Monica</v>
      </c>
      <c r="D754">
        <v>64</v>
      </c>
      <c r="E754" t="str">
        <v>STOPELLO</v>
      </c>
      <c r="F754" t="str">
        <v>GONARTROSIS</v>
      </c>
      <c r="G754" t="str">
        <v>RTR</v>
      </c>
      <c r="H754">
        <v>0</v>
      </c>
      <c r="I754" t="str">
        <v>ACEPTADO</v>
      </c>
      <c r="J754" t="str">
        <v>PARANÁ</v>
      </c>
      <c r="K754" t="str">
        <v>PAMI</v>
      </c>
      <c r="L754">
        <v>0</v>
      </c>
    </row>
    <row r="755" spans="2:12" x14ac:dyDescent="0.25">
      <c r="B755">
        <v>45638</v>
      </c>
      <c r="C755" t="str">
        <v>JUMILLA MARIA</v>
      </c>
      <c r="D755">
        <v>69</v>
      </c>
      <c r="E755" t="str">
        <v>MERLINI</v>
      </c>
      <c r="F755" t="str">
        <v>FX PERIPROTESICA</v>
      </c>
      <c r="G755" t="str">
        <v>PTC NO CEMENTADA PLACA CABLE ALAMBRE, COTILO D MOV</v>
      </c>
      <c r="H755">
        <v>0</v>
      </c>
      <c r="I755" t="str">
        <v>ACEPTADO</v>
      </c>
      <c r="J755" t="str">
        <v>PARANÁ</v>
      </c>
      <c r="K755" t="str">
        <v>PAMI</v>
      </c>
      <c r="L755">
        <v>0</v>
      </c>
    </row>
    <row r="756" spans="2:12" x14ac:dyDescent="0.25">
      <c r="B756">
        <v>45638</v>
      </c>
      <c r="C756" t="str">
        <v>CORONEL MARIA</v>
      </c>
      <c r="D756">
        <v>57</v>
      </c>
      <c r="E756" t="str">
        <v>STOPELLO</v>
      </c>
      <c r="F756" t="str">
        <v>COXARTROSIS</v>
      </c>
      <c r="G756" t="str">
        <v>PTC DERECHA NO CEMENTADA</v>
      </c>
      <c r="H756">
        <v>0</v>
      </c>
      <c r="I756" t="str">
        <v>ACEPTADO</v>
      </c>
      <c r="J756" t="str">
        <v>PARANÁ</v>
      </c>
      <c r="K756" t="str">
        <v>PAMI</v>
      </c>
      <c r="L756">
        <v>0</v>
      </c>
    </row>
    <row r="757" spans="2:12" x14ac:dyDescent="0.25">
      <c r="B757">
        <v>45638</v>
      </c>
      <c r="C757" t="str">
        <v>RODRIGUEZ RAUL</v>
      </c>
      <c r="D757">
        <v>72</v>
      </c>
      <c r="E757" t="str">
        <v>YACOMO</v>
      </c>
      <c r="F757" t="str">
        <v>GONARTROSIS</v>
      </c>
      <c r="G757" t="str">
        <v xml:space="preserve">RTR </v>
      </c>
      <c r="H757">
        <v>0</v>
      </c>
      <c r="I757" t="str">
        <v>ACEPTADO</v>
      </c>
      <c r="J757" t="str">
        <v>PARANÁ</v>
      </c>
      <c r="K757" t="str">
        <v>PAMI</v>
      </c>
      <c r="L757">
        <v>0</v>
      </c>
    </row>
    <row r="758" spans="2:12" x14ac:dyDescent="0.25">
      <c r="B758">
        <v>45639</v>
      </c>
      <c r="C758" t="str">
        <v>FINUCHI DORA</v>
      </c>
      <c r="D758">
        <v>77</v>
      </c>
      <c r="E758">
        <v>0</v>
      </c>
      <c r="F758" t="str">
        <v>FX DE CADERA</v>
      </c>
      <c r="G758" t="str">
        <v>3 TORNILLOS CANULADOS 6,5 MM CON ARANDELA</v>
      </c>
      <c r="H758">
        <v>0</v>
      </c>
      <c r="I758" t="str">
        <v>ACEPTADO</v>
      </c>
      <c r="J758" t="str">
        <v>PARANÁ</v>
      </c>
      <c r="K758" t="str">
        <v>PAMI</v>
      </c>
      <c r="L758">
        <v>0</v>
      </c>
    </row>
    <row r="759" spans="2:12" x14ac:dyDescent="0.25">
      <c r="B759">
        <v>45645</v>
      </c>
      <c r="C759" t="str">
        <v>Martinez Marina</v>
      </c>
      <c r="D759">
        <v>57</v>
      </c>
      <c r="E759" t="str">
        <v>YACOMO</v>
      </c>
      <c r="F759" t="str">
        <v xml:space="preserve">RTR </v>
      </c>
      <c r="G759" t="str">
        <v>GONARTROSI</v>
      </c>
      <c r="H759">
        <v>0</v>
      </c>
      <c r="I759" t="str">
        <v>ACEPTADO</v>
      </c>
      <c r="J759" t="str">
        <v>PARANÁ</v>
      </c>
      <c r="K759" t="str">
        <v>S/M</v>
      </c>
      <c r="L759">
        <v>0</v>
      </c>
    </row>
    <row r="760" spans="2:12" x14ac:dyDescent="0.25">
      <c r="B760">
        <v>45645</v>
      </c>
      <c r="C760" t="str">
        <v xml:space="preserve">GARCIA MIRTA </v>
      </c>
      <c r="D760">
        <v>77</v>
      </c>
      <c r="E760" t="str">
        <v xml:space="preserve">URANGA </v>
      </c>
      <c r="F760" t="str">
        <v>FX EXPUESTA CODO IZQ</v>
      </c>
      <c r="G760" t="str">
        <v xml:space="preserve">PLCA LCP P HUMERO PLACA RECONSTRUCCION T CANULADOS PLACA LCP 2 CLAVIJAS </v>
      </c>
      <c r="H760">
        <v>0</v>
      </c>
      <c r="I760" t="str">
        <v>ACEPTADO</v>
      </c>
      <c r="J760">
        <v>0</v>
      </c>
      <c r="K760" t="str">
        <v>PAMI</v>
      </c>
      <c r="L760">
        <v>0</v>
      </c>
    </row>
    <row r="761" spans="2:12" x14ac:dyDescent="0.25">
      <c r="B761">
        <v>45646</v>
      </c>
      <c r="C761" t="str">
        <v>ZAPATA GREGORIA</v>
      </c>
      <c r="D761">
        <v>65</v>
      </c>
      <c r="E761" t="str">
        <v xml:space="preserve">URANGA </v>
      </c>
      <c r="F761" t="str">
        <v>FX DE CADERA</v>
      </c>
      <c r="G761" t="str">
        <v xml:space="preserve">clavo gamma </v>
      </c>
      <c r="H761">
        <v>0</v>
      </c>
      <c r="I761" t="str">
        <v>ACEPTADO</v>
      </c>
      <c r="J761" t="str">
        <v>PARANÁ</v>
      </c>
      <c r="K761" t="str">
        <v>PAMI</v>
      </c>
      <c r="L761">
        <v>0</v>
      </c>
    </row>
    <row r="762" spans="2:12" x14ac:dyDescent="0.25">
      <c r="B762">
        <v>45646</v>
      </c>
      <c r="C762" t="str">
        <v xml:space="preserve">ACOSTA DOMINGA </v>
      </c>
      <c r="D762">
        <v>81</v>
      </c>
      <c r="E762" t="str">
        <v xml:space="preserve">URANGA </v>
      </c>
      <c r="F762" t="str">
        <v>fx de cadera</v>
      </c>
      <c r="G762" t="str">
        <v xml:space="preserve">clavo gamma </v>
      </c>
      <c r="H762">
        <v>0</v>
      </c>
      <c r="I762" t="str">
        <v>ACEPTADO</v>
      </c>
      <c r="J762" t="str">
        <v>Paraná</v>
      </c>
      <c r="K762" t="str">
        <v>PAMI</v>
      </c>
      <c r="L762">
        <v>0</v>
      </c>
    </row>
    <row r="763" spans="2:12" x14ac:dyDescent="0.25">
      <c r="B763">
        <v>45652</v>
      </c>
      <c r="C763" t="str">
        <v>GEA SANCHEZ JOSE</v>
      </c>
      <c r="D763">
        <v>47</v>
      </c>
      <c r="E763" t="str">
        <v>YACOMO</v>
      </c>
      <c r="F763" t="str">
        <v>RUP DE CUADRICIPITAL</v>
      </c>
      <c r="G763" t="str">
        <v>3 ARPONES 5 MM</v>
      </c>
      <c r="H763">
        <v>0</v>
      </c>
      <c r="I763" t="str">
        <v>ACEPTADO</v>
      </c>
      <c r="J763" t="str">
        <v>PARANÁ</v>
      </c>
      <c r="K763" t="str">
        <v>S/M</v>
      </c>
      <c r="L763">
        <v>0</v>
      </c>
    </row>
    <row r="764" spans="2:12" x14ac:dyDescent="0.25">
      <c r="B764">
        <v>45653</v>
      </c>
      <c r="C764" t="str">
        <v>GORO LEONOR</v>
      </c>
      <c r="D764">
        <v>71</v>
      </c>
      <c r="E764" t="str">
        <v xml:space="preserve">URANGA </v>
      </c>
      <c r="F764" t="str">
        <v>FX HUMERO</v>
      </c>
      <c r="G764" t="str">
        <v>CLAVO ENDOMEDULAR PLACA DCP</v>
      </c>
      <c r="H764">
        <v>0</v>
      </c>
      <c r="I764" t="str">
        <v>ACEPTADO</v>
      </c>
      <c r="J764" t="str">
        <v>PARANÁ</v>
      </c>
      <c r="K764" t="str">
        <v>PAMI</v>
      </c>
      <c r="L764">
        <v>0</v>
      </c>
    </row>
    <row r="765" spans="2:12" x14ac:dyDescent="0.25">
      <c r="B765">
        <v>45659</v>
      </c>
      <c r="C765" t="str">
        <v>PORTALUPPI LIRA</v>
      </c>
      <c r="D765">
        <v>82</v>
      </c>
      <c r="E765">
        <v>0</v>
      </c>
      <c r="F765" t="str">
        <v>FX DE CADERA</v>
      </c>
      <c r="G765" t="str">
        <v>PROTESIS THOMPSON</v>
      </c>
      <c r="H765" t="str">
        <v>VILLALBA</v>
      </c>
      <c r="I765" t="str">
        <v>ACEPTADO</v>
      </c>
      <c r="J765" t="str">
        <v>PARANÁ</v>
      </c>
      <c r="K765" t="str">
        <v>PAMI</v>
      </c>
      <c r="L765">
        <v>0</v>
      </c>
    </row>
    <row r="766" spans="2:12" x14ac:dyDescent="0.25">
      <c r="B766">
        <v>45659</v>
      </c>
      <c r="C766" t="str">
        <v>PRADAL ANGELICA</v>
      </c>
      <c r="D766">
        <v>72</v>
      </c>
      <c r="E766" t="str">
        <v>MERLINI</v>
      </c>
      <c r="F766" t="str">
        <v>FX DE MUÑECA</v>
      </c>
      <c r="G766" t="str">
        <v>PLACA EDR DOBLE HILERA</v>
      </c>
      <c r="H766" t="str">
        <v>VILLALBA</v>
      </c>
      <c r="I766" t="str">
        <v>ACEPTADO</v>
      </c>
      <c r="J766" t="str">
        <v>PARANÁ</v>
      </c>
      <c r="K766" t="str">
        <v>PAMI</v>
      </c>
      <c r="L766">
        <v>0</v>
      </c>
    </row>
    <row r="767" spans="2:12" x14ac:dyDescent="0.25">
      <c r="B767">
        <v>45659</v>
      </c>
      <c r="C767" t="str">
        <v>CIARROCA STELLA MARIS</v>
      </c>
      <c r="D767">
        <v>66</v>
      </c>
      <c r="E767" t="str">
        <v>MERLINI</v>
      </c>
      <c r="F767" t="str">
        <v>FX DE MUÑECA</v>
      </c>
      <c r="G767" t="str">
        <v>PLACA EDR DOBLE HILERA</v>
      </c>
      <c r="H767" t="str">
        <v>VILLALBA</v>
      </c>
      <c r="I767" t="str">
        <v>ACEPTADO</v>
      </c>
      <c r="J767" t="str">
        <v>PARANÁ</v>
      </c>
      <c r="K767" t="str">
        <v>PAMI</v>
      </c>
      <c r="L767">
        <v>0</v>
      </c>
    </row>
    <row r="768" spans="2:12" x14ac:dyDescent="0.25">
      <c r="B768">
        <v>45663</v>
      </c>
      <c r="C768" t="str">
        <v>DELBENE STELLA MARIS</v>
      </c>
      <c r="D768">
        <v>66</v>
      </c>
      <c r="E768" t="str">
        <v>MERLINI</v>
      </c>
      <c r="F768" t="str">
        <v xml:space="preserve">FX TOBILLO </v>
      </c>
      <c r="G768" t="str">
        <v>TORNILLOS,PLACA 3/1</v>
      </c>
      <c r="H768" t="str">
        <v>VILLALBA</v>
      </c>
      <c r="I768" t="str">
        <v>ACEPTADO</v>
      </c>
      <c r="J768" t="str">
        <v>PARANÁ</v>
      </c>
      <c r="K768" t="str">
        <v>PAMI</v>
      </c>
      <c r="L768">
        <v>0</v>
      </c>
    </row>
    <row r="769" spans="2:12" x14ac:dyDescent="0.25">
      <c r="B769">
        <v>45663</v>
      </c>
      <c r="C769" t="str">
        <v>IRASTORZA TERESA</v>
      </c>
      <c r="D769">
        <v>84</v>
      </c>
      <c r="E769" t="str">
        <v>MERLINI</v>
      </c>
      <c r="F769" t="str">
        <v>FX CADERA</v>
      </c>
      <c r="G769" t="str">
        <v>CLAVO GAMMA</v>
      </c>
      <c r="H769" t="str">
        <v>VILLALBA</v>
      </c>
      <c r="I769" t="str">
        <v>ACEPTADO</v>
      </c>
      <c r="J769" t="str">
        <v>PARANÁ</v>
      </c>
      <c r="K769" t="str">
        <v>PAMI</v>
      </c>
      <c r="L769">
        <v>0</v>
      </c>
    </row>
    <row r="770" spans="2:12" x14ac:dyDescent="0.25">
      <c r="B770">
        <v>45663</v>
      </c>
      <c r="C770" t="str">
        <v>MONTI RUEDA GINO</v>
      </c>
      <c r="D770">
        <v>18</v>
      </c>
      <c r="E770" t="str">
        <v>PELEGRINI</v>
      </c>
      <c r="F770" t="str">
        <v>RUPTURA LCA</v>
      </c>
      <c r="G770" t="str">
        <v>BOTON CORTICAL, TORNILLO</v>
      </c>
      <c r="H770">
        <v>0</v>
      </c>
      <c r="I770" t="str">
        <v>ACEPTADO</v>
      </c>
      <c r="J770" t="str">
        <v>PARANÁ</v>
      </c>
      <c r="K770" t="str">
        <v>S/M</v>
      </c>
      <c r="L770">
        <v>0</v>
      </c>
    </row>
    <row r="771" spans="2:12" x14ac:dyDescent="0.25">
      <c r="B771">
        <v>45663</v>
      </c>
      <c r="C771" t="str">
        <v>MAZZEI EVA MARIA</v>
      </c>
      <c r="D771">
        <v>75</v>
      </c>
      <c r="E771" t="str">
        <v>MERLINI</v>
      </c>
      <c r="F771" t="str">
        <v>FX DE HUMERO</v>
      </c>
      <c r="G771" t="str">
        <v>PTC DE HOMBRO</v>
      </c>
      <c r="H771" t="str">
        <v>VILLALBA</v>
      </c>
      <c r="I771" t="str">
        <v>ACEPTADO</v>
      </c>
      <c r="J771" t="str">
        <v>CERRITO</v>
      </c>
      <c r="K771" t="str">
        <v>PAMI</v>
      </c>
      <c r="L771">
        <v>0</v>
      </c>
    </row>
    <row r="772" spans="2:12" x14ac:dyDescent="0.25">
      <c r="B772">
        <v>45663</v>
      </c>
      <c r="C772" t="str">
        <v>HIROZ</v>
      </c>
      <c r="D772">
        <v>89</v>
      </c>
      <c r="E772" t="str">
        <v>MERLINI</v>
      </c>
      <c r="F772" t="str">
        <v>FX DE CADERA</v>
      </c>
      <c r="G772" t="str">
        <v>CLAVO GAMMA</v>
      </c>
      <c r="H772" t="str">
        <v>VILLALBA</v>
      </c>
      <c r="I772" t="str">
        <v>ACEPTADO</v>
      </c>
      <c r="J772" t="str">
        <v>PARANÁ</v>
      </c>
      <c r="K772" t="str">
        <v>PAMI</v>
      </c>
      <c r="L772">
        <v>0</v>
      </c>
    </row>
    <row r="773" spans="2:12" x14ac:dyDescent="0.25">
      <c r="B773">
        <v>45665</v>
      </c>
      <c r="C773" t="str">
        <v>BRESSAN GRACIELA</v>
      </c>
      <c r="D773">
        <v>73</v>
      </c>
      <c r="E773" t="str">
        <v>MERLINI</v>
      </c>
      <c r="F773" t="str">
        <v>FX DE MUÑECA</v>
      </c>
      <c r="G773" t="str">
        <v>PLACA EDR DOBLE HILERA</v>
      </c>
      <c r="H773" t="str">
        <v>VILLALBA</v>
      </c>
      <c r="I773" t="str">
        <v>ACEPTADO</v>
      </c>
      <c r="J773" t="str">
        <v>PARANÁ</v>
      </c>
      <c r="K773" t="str">
        <v>PAMI</v>
      </c>
      <c r="L773">
        <v>0</v>
      </c>
    </row>
    <row r="774" spans="2:12" x14ac:dyDescent="0.25">
      <c r="B774">
        <v>45666</v>
      </c>
      <c r="C774" t="str">
        <v>ACOSTA ALICIA</v>
      </c>
      <c r="D774">
        <v>68</v>
      </c>
      <c r="E774" t="str">
        <v>STOPELLO</v>
      </c>
      <c r="F774" t="str">
        <v>GONALGIA</v>
      </c>
      <c r="G774" t="str">
        <v>PTR</v>
      </c>
      <c r="H774" t="str">
        <v>VILLALBA</v>
      </c>
      <c r="I774" t="str">
        <v>ACEPTADO</v>
      </c>
      <c r="J774" t="str">
        <v>PARANÁ</v>
      </c>
      <c r="K774" t="str">
        <v>PAMI</v>
      </c>
      <c r="L774">
        <v>0</v>
      </c>
    </row>
    <row r="775" spans="2:12" x14ac:dyDescent="0.25">
      <c r="B775">
        <v>45666</v>
      </c>
      <c r="C775" t="str">
        <v>CARDOZO STELLA MARIS</v>
      </c>
      <c r="D775">
        <v>67</v>
      </c>
      <c r="E775" t="str">
        <v>GARCIA VITOR</v>
      </c>
      <c r="F775" t="str">
        <v>LUX PROTESIS CAD</v>
      </c>
      <c r="G775" t="str">
        <v>TALLO CEMENTADO/ANILLO</v>
      </c>
      <c r="H775" t="str">
        <v>VILLALBA</v>
      </c>
      <c r="I775" t="str">
        <v>ACEPTADO</v>
      </c>
      <c r="J775" t="str">
        <v>PARANÁ</v>
      </c>
      <c r="K775" t="str">
        <v>PAMI</v>
      </c>
      <c r="L775">
        <v>0</v>
      </c>
    </row>
    <row r="776" spans="2:12" x14ac:dyDescent="0.25">
      <c r="B776">
        <v>45667</v>
      </c>
      <c r="C776" t="str">
        <v>RODRIGUEZ ELSA MARTA</v>
      </c>
      <c r="D776">
        <v>82</v>
      </c>
      <c r="E776">
        <v>0</v>
      </c>
      <c r="F776" t="str">
        <v>FX DE CADERA</v>
      </c>
      <c r="G776" t="str">
        <v>PTC DE CADERA</v>
      </c>
      <c r="H776" t="str">
        <v>VILLALBA</v>
      </c>
      <c r="I776" t="str">
        <v>ACEPTADO</v>
      </c>
      <c r="J776" t="str">
        <v>PARANÁ</v>
      </c>
      <c r="K776" t="str">
        <v>PAMI</v>
      </c>
      <c r="L776">
        <v>0</v>
      </c>
    </row>
    <row r="777" spans="2:12" x14ac:dyDescent="0.25">
      <c r="B777">
        <v>45667</v>
      </c>
      <c r="C777" t="str">
        <v>GAUNA KEVIN</v>
      </c>
      <c r="D777">
        <v>0</v>
      </c>
      <c r="E777" t="str">
        <v>YACOMO</v>
      </c>
      <c r="F777" t="str">
        <v>LCA</v>
      </c>
      <c r="G777" t="str">
        <v>BOTON CORTICAL, TORNILLO</v>
      </c>
      <c r="H777">
        <v>0</v>
      </c>
      <c r="I777" t="str">
        <v>ACEPTADO</v>
      </c>
      <c r="J777" t="str">
        <v>PARANÁ</v>
      </c>
      <c r="K777" t="str">
        <v>S/M</v>
      </c>
      <c r="L777">
        <v>0</v>
      </c>
    </row>
    <row r="778" spans="2:12" x14ac:dyDescent="0.25">
      <c r="B778">
        <v>45670</v>
      </c>
      <c r="C778" t="str">
        <v>BERTA VIDA DEL CARMEN</v>
      </c>
      <c r="D778">
        <v>69</v>
      </c>
      <c r="E778" t="str">
        <v>MERLINI</v>
      </c>
      <c r="F778" t="str">
        <v>FX DE CADERA</v>
      </c>
      <c r="G778" t="str">
        <v>PTC. COTILO.</v>
      </c>
      <c r="H778" t="str">
        <v>VILLALBA</v>
      </c>
      <c r="I778" t="str">
        <v>ACEPTADO</v>
      </c>
      <c r="J778" t="str">
        <v>PARANÁ</v>
      </c>
      <c r="K778" t="str">
        <v>PAMI</v>
      </c>
      <c r="L778">
        <v>0</v>
      </c>
    </row>
    <row r="779" spans="2:12" x14ac:dyDescent="0.25">
      <c r="B779">
        <v>45671</v>
      </c>
      <c r="C779" t="str">
        <v xml:space="preserve">SOSA HILDA </v>
      </c>
      <c r="D779">
        <v>83</v>
      </c>
      <c r="E779">
        <v>0</v>
      </c>
      <c r="F779" t="str">
        <v>FX DE CADERA</v>
      </c>
      <c r="G779" t="str">
        <v>CLAVO GAMMA</v>
      </c>
      <c r="H779" t="str">
        <v>VILLALBA</v>
      </c>
      <c r="I779" t="str">
        <v>ACEPTADO</v>
      </c>
      <c r="J779" t="str">
        <v>PARANÁ</v>
      </c>
      <c r="K779" t="str">
        <v>PAMI</v>
      </c>
      <c r="L779">
        <v>0</v>
      </c>
    </row>
    <row r="780" spans="2:12" x14ac:dyDescent="0.25">
      <c r="B780">
        <v>45673</v>
      </c>
      <c r="C780" t="str">
        <v>LEDESMA ROSALIA</v>
      </c>
      <c r="D780">
        <v>0</v>
      </c>
      <c r="E780" t="str">
        <v>MERLINI</v>
      </c>
      <c r="F780" t="str">
        <v>FX DE MUÑECA</v>
      </c>
      <c r="G780" t="str">
        <v>PLACA EDR DOBLE HILERA</v>
      </c>
      <c r="H780" t="str">
        <v>VILLALBA</v>
      </c>
      <c r="I780" t="str">
        <v>ACEPTADO</v>
      </c>
      <c r="J780" t="str">
        <v>PARANÁ</v>
      </c>
      <c r="K780" t="str">
        <v>PAMI</v>
      </c>
      <c r="L780">
        <v>0</v>
      </c>
    </row>
    <row r="781" spans="2:12" x14ac:dyDescent="0.25">
      <c r="B781">
        <v>45673</v>
      </c>
      <c r="C781" t="str">
        <v>SCHUNK LUIS</v>
      </c>
      <c r="D781">
        <v>58</v>
      </c>
      <c r="E781" t="str">
        <v>CESAR MEYNET</v>
      </c>
      <c r="F781" t="str">
        <v>DISPLACIA.CAD</v>
      </c>
      <c r="G781" t="str">
        <v>PTC</v>
      </c>
      <c r="H781">
        <v>0</v>
      </c>
      <c r="I781" t="str">
        <v>ACEPTADO</v>
      </c>
      <c r="J781" t="str">
        <v>BOVRIL</v>
      </c>
      <c r="K781" t="str">
        <v>S/M</v>
      </c>
      <c r="L781">
        <v>0</v>
      </c>
    </row>
    <row r="782" spans="2:12" x14ac:dyDescent="0.25">
      <c r="B782">
        <v>45674</v>
      </c>
      <c r="C782" t="str">
        <v>MULLER HELMA LEA</v>
      </c>
      <c r="D782">
        <v>89</v>
      </c>
      <c r="E782" t="str">
        <v>MERLINI</v>
      </c>
      <c r="F782" t="str">
        <v>FX DE CADERA</v>
      </c>
      <c r="G782" t="str">
        <v>CLAVO GAMMA</v>
      </c>
      <c r="H782" t="str">
        <v>VILLALBA</v>
      </c>
      <c r="I782" t="str">
        <v>ACEPTADO</v>
      </c>
      <c r="J782" t="str">
        <v>PARANÁ</v>
      </c>
      <c r="K782" t="str">
        <v>PAMI</v>
      </c>
      <c r="L782">
        <v>0</v>
      </c>
    </row>
    <row r="783" spans="2:12" x14ac:dyDescent="0.25">
      <c r="B783">
        <v>45674</v>
      </c>
      <c r="C783" t="str">
        <v>CRUZ NESTOR</v>
      </c>
      <c r="D783">
        <v>51</v>
      </c>
      <c r="E783" t="str">
        <v>MERLINI</v>
      </c>
      <c r="F783" t="str">
        <v>ESTRECHO LUMB</v>
      </c>
      <c r="G783" t="str">
        <v>SIST. RETRACTOR. SIST.LED</v>
      </c>
      <c r="H783">
        <v>0</v>
      </c>
      <c r="I783" t="str">
        <v>ACEPTADO</v>
      </c>
      <c r="J783">
        <v>0</v>
      </c>
      <c r="K783" t="str">
        <v>S/M</v>
      </c>
      <c r="L783">
        <v>0</v>
      </c>
    </row>
    <row r="784" spans="2:12" x14ac:dyDescent="0.25">
      <c r="B784">
        <v>45675</v>
      </c>
      <c r="C784" t="str">
        <v>DEMUTTE BEATRIZ PIEDAD</v>
      </c>
      <c r="D784">
        <v>75</v>
      </c>
      <c r="E784">
        <v>0</v>
      </c>
      <c r="F784" t="str">
        <v>ESTRECHO LUMB</v>
      </c>
      <c r="G784" t="str">
        <v>SISTEMA FIJACION COLUMN</v>
      </c>
      <c r="H784" t="str">
        <v>VILLALBA</v>
      </c>
      <c r="I784" t="str">
        <v>ACEPTADO</v>
      </c>
      <c r="J784" t="str">
        <v>PARANÁ</v>
      </c>
      <c r="K784" t="str">
        <v>PAMI</v>
      </c>
      <c r="L784">
        <v>0</v>
      </c>
    </row>
    <row r="785" spans="2:12" x14ac:dyDescent="0.25">
      <c r="B785">
        <v>45677</v>
      </c>
      <c r="C785" t="str">
        <v>SCHONHALS ERNESTO</v>
      </c>
      <c r="D785">
        <v>79</v>
      </c>
      <c r="E785" t="str">
        <v>YACOMO</v>
      </c>
      <c r="F785" t="str">
        <v>FX DE COLUMNA</v>
      </c>
      <c r="G785" t="str">
        <v>SET CIFOPLASTIA</v>
      </c>
      <c r="H785" t="str">
        <v>VILLALBA</v>
      </c>
      <c r="I785" t="str">
        <v>ACEPTADO</v>
      </c>
      <c r="J785" t="str">
        <v>PARANÁ</v>
      </c>
      <c r="K785" t="str">
        <v>PAMI</v>
      </c>
      <c r="L785">
        <v>0</v>
      </c>
    </row>
    <row r="786" spans="2:12" x14ac:dyDescent="0.25">
      <c r="B786">
        <v>45677</v>
      </c>
      <c r="C786" t="str">
        <v>GILES LUISA MATILDE</v>
      </c>
      <c r="D786">
        <v>74</v>
      </c>
      <c r="E786" t="str">
        <v>MERLINI</v>
      </c>
      <c r="F786" t="str">
        <v>FX DE CADERA</v>
      </c>
      <c r="G786" t="str">
        <v>CLAVO GAMMA</v>
      </c>
      <c r="H786" t="str">
        <v>VILLALBA</v>
      </c>
      <c r="I786" t="str">
        <v>ACEPTADO</v>
      </c>
      <c r="J786" t="str">
        <v>PARANÁ</v>
      </c>
      <c r="K786" t="str">
        <v>PAMI</v>
      </c>
      <c r="L786">
        <v>0</v>
      </c>
    </row>
    <row r="787" spans="2:12" x14ac:dyDescent="0.25">
      <c r="B787">
        <v>45677</v>
      </c>
      <c r="C787" t="str">
        <v>ALARCON MAXIMA GRE</v>
      </c>
      <c r="D787">
        <v>83</v>
      </c>
      <c r="E787" t="str">
        <v>MERLINI</v>
      </c>
      <c r="F787" t="str">
        <v>FX DE CADERA</v>
      </c>
      <c r="G787" t="str">
        <v>PTC. COTILO.</v>
      </c>
      <c r="H787" t="str">
        <v>VILLALBA</v>
      </c>
      <c r="I787" t="str">
        <v>ACEPTADO</v>
      </c>
      <c r="J787" t="str">
        <v>PARANÁ</v>
      </c>
      <c r="K787" t="str">
        <v>PAMI</v>
      </c>
      <c r="L787">
        <v>0</v>
      </c>
    </row>
    <row r="788" spans="2:12" x14ac:dyDescent="0.25">
      <c r="B788">
        <v>45695</v>
      </c>
      <c r="C788" t="str">
        <v>Herrera German</v>
      </c>
      <c r="D788">
        <v>57</v>
      </c>
      <c r="E788" t="str">
        <v xml:space="preserve">URANGA </v>
      </c>
      <c r="F788" t="str">
        <v>Lumbalgia</v>
      </c>
      <c r="G788" t="str">
        <v>4 tornillos 1 plif 1 sustituto oseo</v>
      </c>
      <c r="H788">
        <v>0</v>
      </c>
      <c r="I788" t="str">
        <v>ACEPTADO</v>
      </c>
      <c r="J788" t="str">
        <v>Paraná</v>
      </c>
      <c r="K788" t="str">
        <v>S/M</v>
      </c>
      <c r="L788">
        <v>0</v>
      </c>
    </row>
    <row r="789" spans="2:12" x14ac:dyDescent="0.25">
      <c r="B789">
        <v>45698</v>
      </c>
      <c r="C789" t="str">
        <v>Colliar Andrea</v>
      </c>
      <c r="D789">
        <v>33</v>
      </c>
      <c r="E789" t="str">
        <v>GARCIA VITOR</v>
      </c>
      <c r="F789" t="str">
        <v>Genu Varo</v>
      </c>
      <c r="G789" t="str">
        <v xml:space="preserve">placa tipo tomofix </v>
      </c>
      <c r="H789">
        <v>0</v>
      </c>
      <c r="I789" t="str">
        <v>ACEPTADO</v>
      </c>
      <c r="J789" t="str">
        <v>Paraná</v>
      </c>
      <c r="K789" t="str">
        <v>S/M</v>
      </c>
      <c r="L789">
        <v>0</v>
      </c>
    </row>
    <row r="790" spans="2:12" x14ac:dyDescent="0.25">
      <c r="B790">
        <v>45698</v>
      </c>
      <c r="C790" t="str">
        <v>Fontana Maria</v>
      </c>
      <c r="D790">
        <v>76</v>
      </c>
      <c r="E790" t="str">
        <v xml:space="preserve">URANGA </v>
      </c>
      <c r="F790" t="str">
        <v>fx muñeca</v>
      </c>
      <c r="G790" t="str">
        <v>placa edr doble  hilera distal 2,7/3,5 mm</v>
      </c>
      <c r="H790">
        <v>0</v>
      </c>
      <c r="I790" t="str">
        <v>ACEPTADO</v>
      </c>
      <c r="J790" t="str">
        <v>PARANÁ</v>
      </c>
      <c r="K790" t="str">
        <v>PAMI</v>
      </c>
      <c r="L790">
        <v>0</v>
      </c>
    </row>
    <row r="791" spans="2:12" x14ac:dyDescent="0.25">
      <c r="B791">
        <v>45698</v>
      </c>
      <c r="C791" t="str">
        <v>FACELI ISABEL</v>
      </c>
      <c r="D791">
        <v>71</v>
      </c>
      <c r="E791" t="str">
        <v>UCEDO</v>
      </c>
      <c r="F791" t="str">
        <v>FX DE PLATILLO TIBIAL</v>
      </c>
      <c r="G791" t="str">
        <v xml:space="preserve">CANULADOS PLACAS T TERCIO TUBO </v>
      </c>
      <c r="H791">
        <v>0</v>
      </c>
      <c r="I791" t="str">
        <v>ACEPTADO</v>
      </c>
      <c r="J791" t="str">
        <v>PARANÁ</v>
      </c>
      <c r="K791" t="str">
        <v>PAMI</v>
      </c>
      <c r="L791">
        <v>0</v>
      </c>
    </row>
    <row r="792" spans="2:12" x14ac:dyDescent="0.25">
      <c r="B792">
        <v>45699</v>
      </c>
      <c r="C792" t="str">
        <v>Ruiz Juan Alberto</v>
      </c>
      <c r="D792">
        <v>41</v>
      </c>
      <c r="E792" t="str">
        <v>UCEDO</v>
      </c>
      <c r="F792" t="str">
        <v>Pie Plano</v>
      </c>
      <c r="G792" t="str">
        <v>1 placa 2,0 mm y 2,7 mm 1 tornillo de esponjosa can 4,5 mm 1 placa 3,5 mm</v>
      </c>
      <c r="H792">
        <v>0</v>
      </c>
      <c r="I792" t="str">
        <v>ACEPTADO</v>
      </c>
      <c r="J792" t="str">
        <v>Paraná</v>
      </c>
      <c r="K792" t="str">
        <v>S/M</v>
      </c>
      <c r="L792">
        <v>0</v>
      </c>
    </row>
    <row r="793" spans="2:12" x14ac:dyDescent="0.25">
      <c r="B793">
        <v>45699</v>
      </c>
      <c r="C793" t="str">
        <v>Cena Evangelina</v>
      </c>
      <c r="D793">
        <v>74</v>
      </c>
      <c r="E793" t="str">
        <v>VENTURI</v>
      </c>
      <c r="F793" t="str">
        <v>Fx de muñeca</v>
      </c>
      <c r="G793" t="str">
        <v>placa edr doble  hilera distal 2,7/3,5 mm</v>
      </c>
      <c r="H793">
        <v>0</v>
      </c>
      <c r="I793" t="str">
        <v>ACEPTADO</v>
      </c>
      <c r="J793" t="str">
        <v>PARANÁ</v>
      </c>
      <c r="K793" t="str">
        <v>PAMI</v>
      </c>
      <c r="L793">
        <v>0</v>
      </c>
    </row>
    <row r="794" spans="2:12" x14ac:dyDescent="0.25">
      <c r="B794">
        <v>45699</v>
      </c>
      <c r="C794" t="str">
        <v>ALBARRACIN BLANCA</v>
      </c>
      <c r="D794">
        <v>72</v>
      </c>
      <c r="E794" t="str">
        <v>VENTURI</v>
      </c>
      <c r="F794" t="str">
        <v>GONARTROSIS</v>
      </c>
      <c r="G794" t="str">
        <v>RTR ANATOMICA</v>
      </c>
      <c r="H794">
        <v>0</v>
      </c>
      <c r="I794" t="str">
        <v>ACEPTADO</v>
      </c>
      <c r="J794" t="str">
        <v>PARANÁ</v>
      </c>
      <c r="K794" t="str">
        <v>PAMI</v>
      </c>
      <c r="L794">
        <v>0</v>
      </c>
    </row>
    <row r="795" spans="2:12" x14ac:dyDescent="0.25">
      <c r="B795">
        <v>45699</v>
      </c>
      <c r="C795" t="str">
        <v>BERTOLDI LUIS</v>
      </c>
      <c r="D795">
        <v>80</v>
      </c>
      <c r="E795" t="str">
        <v>UCEDO</v>
      </c>
      <c r="F795" t="str">
        <v>HALLUX VALGUS</v>
      </c>
      <c r="G795" t="str">
        <v>TORNILLO TIPO BAROU CANULADOS 3,0 MM CLAVIJAS 2,0 Y 1,5 MM</v>
      </c>
      <c r="H795">
        <v>0</v>
      </c>
      <c r="I795" t="str">
        <v>ACEPTADO</v>
      </c>
      <c r="J795" t="str">
        <v>PARANÁ</v>
      </c>
      <c r="K795" t="str">
        <v>PAMI</v>
      </c>
      <c r="L795">
        <v>0</v>
      </c>
    </row>
    <row r="796" spans="2:12" x14ac:dyDescent="0.25">
      <c r="B796">
        <v>45700</v>
      </c>
      <c r="C796" t="str">
        <v>GARCIA GREGORIO</v>
      </c>
      <c r="D796">
        <v>76</v>
      </c>
      <c r="E796" t="str">
        <v>STOPELLO</v>
      </c>
      <c r="F796" t="str">
        <v>1 RTR</v>
      </c>
      <c r="G796" t="str">
        <v>GONARTROSIS</v>
      </c>
      <c r="H796">
        <v>0</v>
      </c>
      <c r="I796" t="str">
        <v>ACEPTADO</v>
      </c>
      <c r="J796" t="str">
        <v>PARANÁ</v>
      </c>
      <c r="K796" t="str">
        <v>PAMI</v>
      </c>
      <c r="L796">
        <v>0</v>
      </c>
    </row>
    <row r="797" spans="2:12" x14ac:dyDescent="0.25">
      <c r="B797">
        <v>45701</v>
      </c>
      <c r="C797" t="str">
        <v>Salvetti Silvina</v>
      </c>
      <c r="D797">
        <v>41</v>
      </c>
      <c r="E797" t="str">
        <v>GARCIA VITOR</v>
      </c>
      <c r="F797" t="str">
        <v>Lesion osteocondral de rodilla izq</v>
      </c>
      <c r="G797" t="str">
        <v>1 set de microfracturas y osaicoplastia para rodilla</v>
      </c>
      <c r="H797">
        <v>0</v>
      </c>
      <c r="I797" t="str">
        <v>ACEPTADO</v>
      </c>
      <c r="J797" t="str">
        <v>La Paz</v>
      </c>
      <c r="K797" t="str">
        <v>S/M</v>
      </c>
      <c r="L797">
        <v>0</v>
      </c>
    </row>
    <row r="798" spans="2:12" x14ac:dyDescent="0.25">
      <c r="B798">
        <v>45701</v>
      </c>
      <c r="C798" t="str">
        <v>Torres Alvaro</v>
      </c>
      <c r="D798">
        <v>16</v>
      </c>
      <c r="E798" t="str">
        <v>GARCIA VITOR</v>
      </c>
      <c r="F798" t="str">
        <v>lca</v>
      </c>
      <c r="G798" t="str">
        <v>1 boton 2 tornillos de peek 1 arpon knoless 5 mm grampa set de fresaspara lca</v>
      </c>
      <c r="H798">
        <v>0</v>
      </c>
      <c r="I798" t="str">
        <v>ACEPTADO</v>
      </c>
      <c r="J798" t="str">
        <v>Victoria</v>
      </c>
      <c r="K798" t="str">
        <v>S/M</v>
      </c>
      <c r="L798">
        <v>0</v>
      </c>
    </row>
    <row r="799" spans="2:12" x14ac:dyDescent="0.25">
      <c r="B799">
        <v>45701</v>
      </c>
      <c r="C799" t="str">
        <v xml:space="preserve">Monzon Nicolas </v>
      </c>
      <c r="D799">
        <v>21</v>
      </c>
      <c r="E799" t="str">
        <v>STOPELLO</v>
      </c>
      <c r="F799" t="str">
        <v>LCA</v>
      </c>
      <c r="G799" t="str">
        <v>1 BOTON TIPO KUROSAKA 2 BOTON F</v>
      </c>
      <c r="H799">
        <v>0</v>
      </c>
      <c r="I799" t="str">
        <v>ACEPTADO</v>
      </c>
      <c r="J799" t="str">
        <v>NOGOYA</v>
      </c>
      <c r="K799" t="str">
        <v>S/M</v>
      </c>
      <c r="L799">
        <v>0</v>
      </c>
    </row>
    <row r="800" spans="2:12" x14ac:dyDescent="0.25">
      <c r="B800">
        <v>45701</v>
      </c>
      <c r="C800" t="str">
        <v xml:space="preserve">Rechach Carmen </v>
      </c>
      <c r="D800">
        <v>46</v>
      </c>
      <c r="E800" t="str">
        <v>STOPELLO</v>
      </c>
      <c r="F800" t="str">
        <v>displasia de cadera</v>
      </c>
      <c r="G800" t="str">
        <v>1 ptc no cementada</v>
      </c>
      <c r="H800">
        <v>0</v>
      </c>
      <c r="I800" t="str">
        <v>ACEPTADO</v>
      </c>
      <c r="J800" t="str">
        <v>Herrera</v>
      </c>
      <c r="K800" t="str">
        <v>S/M</v>
      </c>
      <c r="L800">
        <v>0</v>
      </c>
    </row>
    <row r="801" spans="2:12" x14ac:dyDescent="0.25">
      <c r="B801">
        <v>45701</v>
      </c>
      <c r="C801" t="str">
        <v>Dominguez Sara</v>
      </c>
      <c r="D801">
        <v>72</v>
      </c>
      <c r="E801" t="str">
        <v>GARCIA VITOR</v>
      </c>
      <c r="F801" t="str">
        <v>coxartrosis</v>
      </c>
      <c r="G801" t="str">
        <v>ptc de revision no cementada</v>
      </c>
      <c r="H801">
        <v>0</v>
      </c>
      <c r="I801" t="str">
        <v>ACEPTADO</v>
      </c>
      <c r="J801" t="str">
        <v>PARANÁ</v>
      </c>
      <c r="K801" t="str">
        <v>PAMI</v>
      </c>
      <c r="L801">
        <v>0</v>
      </c>
    </row>
    <row r="802" spans="2:12" x14ac:dyDescent="0.25">
      <c r="B802">
        <v>45701</v>
      </c>
      <c r="C802" t="str">
        <v>Del matto Mirna</v>
      </c>
      <c r="D802">
        <v>86</v>
      </c>
      <c r="E802" t="str">
        <v xml:space="preserve">URANGA </v>
      </c>
      <c r="F802" t="str">
        <v>Fx de cadera</v>
      </c>
      <c r="G802" t="str">
        <v>clavo gamma</v>
      </c>
      <c r="H802">
        <v>0</v>
      </c>
      <c r="I802" t="str">
        <v>ACEPTADO</v>
      </c>
      <c r="J802" t="str">
        <v>PARANÁ</v>
      </c>
      <c r="K802" t="str">
        <v>PAMI</v>
      </c>
      <c r="L802">
        <v>0</v>
      </c>
    </row>
    <row r="803" spans="2:12" x14ac:dyDescent="0.25">
      <c r="B803">
        <v>45701</v>
      </c>
      <c r="C803" t="str">
        <v>WAGNER OLGA</v>
      </c>
      <c r="D803">
        <v>0</v>
      </c>
      <c r="E803" t="str">
        <v>GARCIA VITOR</v>
      </c>
      <c r="F803">
        <v>0</v>
      </c>
      <c r="G803" t="str">
        <v xml:space="preserve">CANULADOS 6,5 MM </v>
      </c>
      <c r="H803">
        <v>0</v>
      </c>
      <c r="I803" t="str">
        <v>ACEPTADO</v>
      </c>
      <c r="J803" t="str">
        <v>PARANÁ</v>
      </c>
      <c r="K803" t="str">
        <v>PAMI</v>
      </c>
      <c r="L803">
        <v>0</v>
      </c>
    </row>
    <row r="804" spans="2:12" x14ac:dyDescent="0.25">
      <c r="B804">
        <v>45702</v>
      </c>
      <c r="C804" t="str">
        <v>FRASCONA JOSE</v>
      </c>
      <c r="D804">
        <v>84</v>
      </c>
      <c r="E804" t="str">
        <v xml:space="preserve">URANGA </v>
      </c>
      <c r="F804" t="str">
        <v>FX DE HOMBRO</v>
      </c>
      <c r="G804" t="str">
        <v>PROTESIS T DE HOMBRO</v>
      </c>
      <c r="H804">
        <v>0</v>
      </c>
      <c r="I804" t="str">
        <v>ACEPTADO</v>
      </c>
      <c r="J804" t="str">
        <v>PARANÁ</v>
      </c>
      <c r="K804" t="str">
        <v>PAMI</v>
      </c>
      <c r="L804">
        <v>0</v>
      </c>
    </row>
    <row r="805" spans="2:12" x14ac:dyDescent="0.25">
      <c r="B805">
        <v>45703</v>
      </c>
      <c r="C805" t="str">
        <v>CALBUCOY JUANA</v>
      </c>
      <c r="D805">
        <v>73</v>
      </c>
      <c r="E805">
        <v>0</v>
      </c>
      <c r="F805">
        <v>0</v>
      </c>
      <c r="G805" t="str">
        <v>RTR VASTAGOS Y CUÑAS</v>
      </c>
      <c r="H805">
        <v>0</v>
      </c>
      <c r="I805" t="str">
        <v>ACEPTADO</v>
      </c>
      <c r="J805" t="str">
        <v>PARANÁ</v>
      </c>
      <c r="K805" t="str">
        <v>PAMI</v>
      </c>
      <c r="L805">
        <v>0</v>
      </c>
    </row>
    <row r="806" spans="2:12" x14ac:dyDescent="0.25">
      <c r="B806">
        <v>45704</v>
      </c>
      <c r="C806" t="str">
        <v>SIBOLDI MARIA</v>
      </c>
      <c r="D806">
        <v>69</v>
      </c>
      <c r="E806" t="str">
        <v>COLLOMB</v>
      </c>
      <c r="F806" t="str">
        <v>RUP DEL MANG ROT</v>
      </c>
      <c r="G806" t="str">
        <v>2 ARPONES 3,5</v>
      </c>
      <c r="H806">
        <v>0</v>
      </c>
      <c r="I806" t="str">
        <v>ACEPTADO</v>
      </c>
      <c r="J806" t="str">
        <v>PARANÁ</v>
      </c>
      <c r="K806" t="str">
        <v>PAMI</v>
      </c>
      <c r="L806">
        <v>0</v>
      </c>
    </row>
    <row r="807" spans="2:12" x14ac:dyDescent="0.25">
      <c r="B807">
        <v>45705</v>
      </c>
      <c r="C807" t="str">
        <v>FONTANA ANA MARIA</v>
      </c>
      <c r="D807">
        <v>94</v>
      </c>
      <c r="E807" t="str">
        <v xml:space="preserve">URANGA </v>
      </c>
      <c r="F807" t="str">
        <v>FX DE CADERA</v>
      </c>
      <c r="G807" t="str">
        <v>THOMPSON</v>
      </c>
      <c r="H807">
        <v>0</v>
      </c>
      <c r="I807" t="str">
        <v>ACEPTADO</v>
      </c>
      <c r="J807" t="str">
        <v>PARANÁ</v>
      </c>
      <c r="K807" t="str">
        <v>PAMI</v>
      </c>
      <c r="L807">
        <v>0</v>
      </c>
    </row>
    <row r="808" spans="2:12" x14ac:dyDescent="0.25">
      <c r="B808">
        <v>45706</v>
      </c>
      <c r="C808" t="str">
        <v>Rosales Julio _</v>
      </c>
      <c r="D808">
        <v>57</v>
      </c>
      <c r="E808" t="str">
        <v>YACOMO</v>
      </c>
      <c r="F808" t="str">
        <v>Genu Varo</v>
      </c>
      <c r="G808" t="str">
        <v>1 placa puddu</v>
      </c>
      <c r="H808">
        <v>0</v>
      </c>
      <c r="I808" t="str">
        <v>ACEPTADO</v>
      </c>
      <c r="J808" t="str">
        <v>Paraná</v>
      </c>
      <c r="K808" t="str">
        <v>S/M</v>
      </c>
      <c r="L808">
        <v>0</v>
      </c>
    </row>
    <row r="809" spans="2:12" x14ac:dyDescent="0.25">
      <c r="B809">
        <v>45706</v>
      </c>
      <c r="C809" t="str">
        <v>GRINOVERO MARTA</v>
      </c>
      <c r="D809">
        <v>73</v>
      </c>
      <c r="E809" t="str">
        <v>YACOMO</v>
      </c>
      <c r="F809" t="str">
        <v>GONARTROSIS</v>
      </c>
      <c r="G809" t="str">
        <v>RTR</v>
      </c>
      <c r="H809">
        <v>0</v>
      </c>
      <c r="I809" t="str">
        <v>ACEPTADO</v>
      </c>
      <c r="J809" t="str">
        <v>PARANÁ</v>
      </c>
      <c r="K809" t="str">
        <v>PAMI</v>
      </c>
      <c r="L809">
        <v>0</v>
      </c>
    </row>
    <row r="810" spans="2:12" x14ac:dyDescent="0.25">
      <c r="B810">
        <v>45707</v>
      </c>
      <c r="C810" t="str">
        <v>Cuevas Milton</v>
      </c>
      <c r="D810">
        <v>17</v>
      </c>
      <c r="E810" t="str">
        <v>STOPELLO</v>
      </c>
      <c r="F810" t="str">
        <v>LCA</v>
      </c>
      <c r="G810" t="str">
        <v>1BOTON 2 TORNILLOS</v>
      </c>
      <c r="H810">
        <v>0</v>
      </c>
      <c r="I810" t="str">
        <v>ACEPTADO</v>
      </c>
      <c r="J810" t="str">
        <v>GUALEGUAY</v>
      </c>
      <c r="K810" t="str">
        <v>S/M</v>
      </c>
      <c r="L810">
        <v>0</v>
      </c>
    </row>
    <row r="811" spans="2:12" x14ac:dyDescent="0.25">
      <c r="B811">
        <v>45707</v>
      </c>
      <c r="C811" t="str">
        <v xml:space="preserve">ROMERO JUANA </v>
      </c>
      <c r="D811">
        <v>70</v>
      </c>
      <c r="E811" t="str">
        <v>STOPELLO</v>
      </c>
      <c r="F811" t="str">
        <v>INFECCION PROTESICA</v>
      </c>
      <c r="G811" t="str">
        <v xml:space="preserve">1 ESPACIADOR ARTICULADO 3 DOSIS DE CEMENTO CON ANT </v>
      </c>
      <c r="H811">
        <v>0</v>
      </c>
      <c r="I811" t="str">
        <v>ACEPTADO</v>
      </c>
      <c r="J811" t="str">
        <v>PARANÁ</v>
      </c>
      <c r="K811" t="str">
        <v>PAMI</v>
      </c>
      <c r="L811">
        <v>0</v>
      </c>
    </row>
    <row r="812" spans="2:12" x14ac:dyDescent="0.25">
      <c r="B812">
        <v>45708</v>
      </c>
      <c r="C812" t="str">
        <v>HILDEBRANDT TERESA</v>
      </c>
      <c r="D812">
        <v>77</v>
      </c>
      <c r="E812" t="str">
        <v>YACOMO</v>
      </c>
      <c r="F812" t="str">
        <v>GONARTROSIS</v>
      </c>
      <c r="G812" t="str">
        <v>RTR ANATOMICA</v>
      </c>
      <c r="H812" t="str">
        <v>VILLALBA</v>
      </c>
      <c r="I812" t="str">
        <v>ACEPTADO</v>
      </c>
      <c r="J812" t="str">
        <v>PARANÁ</v>
      </c>
      <c r="K812" t="str">
        <v>PAMI</v>
      </c>
      <c r="L812">
        <v>0</v>
      </c>
    </row>
    <row r="813" spans="2:12" x14ac:dyDescent="0.25">
      <c r="B813">
        <v>45708</v>
      </c>
      <c r="C813" t="str">
        <v>VITOR EDUARDO</v>
      </c>
      <c r="D813">
        <v>74</v>
      </c>
      <c r="E813">
        <v>0</v>
      </c>
      <c r="F813" t="str">
        <v>FX CADERA IZQ</v>
      </c>
      <c r="G813" t="str">
        <v>CLAVO GAMMA</v>
      </c>
      <c r="H813" t="str">
        <v>VILLABA</v>
      </c>
      <c r="I813" t="str">
        <v>ACEPTADO</v>
      </c>
      <c r="J813" t="str">
        <v>PARANÁ</v>
      </c>
      <c r="K813" t="str">
        <v>PAMI</v>
      </c>
      <c r="L813">
        <v>0</v>
      </c>
    </row>
    <row r="814" spans="2:12" x14ac:dyDescent="0.25">
      <c r="B814">
        <v>45709</v>
      </c>
      <c r="C814" t="str">
        <v>GAREIS MARIA</v>
      </c>
      <c r="D814">
        <v>68</v>
      </c>
      <c r="E814" t="str">
        <v>SUKSDORF</v>
      </c>
      <c r="F814" t="str">
        <v>GENU VARO</v>
      </c>
      <c r="G814" t="str">
        <v>RTR</v>
      </c>
      <c r="H814">
        <v>0</v>
      </c>
      <c r="I814" t="str">
        <v>ACEPTADO</v>
      </c>
      <c r="J814" t="str">
        <v>PARANÁ</v>
      </c>
      <c r="K814" t="str">
        <v>PAMI</v>
      </c>
      <c r="L814">
        <v>0</v>
      </c>
    </row>
    <row r="815" spans="2:12" x14ac:dyDescent="0.25">
      <c r="B815">
        <v>45709</v>
      </c>
      <c r="C815" t="str">
        <v xml:space="preserve">MOREIRA HORACIO </v>
      </c>
      <c r="D815">
        <v>69</v>
      </c>
      <c r="E815" t="str">
        <v xml:space="preserve">URANGA </v>
      </c>
      <c r="F815" t="str">
        <v>ESCOLISIS</v>
      </c>
      <c r="G815" t="str">
        <v>BARRA/TORNI/PLIFF</v>
      </c>
      <c r="H815" t="str">
        <v>IP MAGNA</v>
      </c>
      <c r="I815" t="str">
        <v>ACEPTADO</v>
      </c>
      <c r="J815" t="str">
        <v>PARANÁ</v>
      </c>
      <c r="K815" t="str">
        <v>PAMI</v>
      </c>
      <c r="L815">
        <v>0</v>
      </c>
    </row>
    <row r="816" spans="2:12" x14ac:dyDescent="0.25">
      <c r="B816">
        <v>45710</v>
      </c>
      <c r="C816" t="str">
        <v>ORTMAN LIDIA</v>
      </c>
      <c r="D816">
        <v>80</v>
      </c>
      <c r="E816" t="str">
        <v>GARCIA VITOR</v>
      </c>
      <c r="F816" t="str">
        <v>INFECCION PERIPROTESICA</v>
      </c>
      <c r="G816" t="str">
        <v xml:space="preserve">ESPACIADOR DE CEMENTO CON ANTIBIOTICO 2 DOSIS DE CEMENTO CON ANTIBIOTICO </v>
      </c>
      <c r="H816">
        <v>0</v>
      </c>
      <c r="I816" t="str">
        <v>ACEPTADO</v>
      </c>
      <c r="J816">
        <v>0</v>
      </c>
      <c r="K816" t="str">
        <v>PAMI</v>
      </c>
      <c r="L816">
        <v>0</v>
      </c>
    </row>
    <row r="817" spans="2:12" x14ac:dyDescent="0.25">
      <c r="B817">
        <v>45715</v>
      </c>
      <c r="C817" t="str">
        <v>CACERES ALEJANDRA</v>
      </c>
      <c r="D817">
        <v>58</v>
      </c>
      <c r="E817" t="str">
        <v>STOPELLO</v>
      </c>
      <c r="F817" t="str">
        <v>COXALGIA</v>
      </c>
      <c r="G817" t="str">
        <v>PTC DE REVISION NO CEMENTADA DE FIJACION DISTAL</v>
      </c>
      <c r="H817">
        <v>0</v>
      </c>
      <c r="I817" t="str">
        <v>ACEPTADO</v>
      </c>
      <c r="J817" t="str">
        <v>PARANÁ</v>
      </c>
      <c r="K817" t="str">
        <v>PAMI</v>
      </c>
      <c r="L817">
        <v>0</v>
      </c>
    </row>
    <row r="818" spans="2:12" x14ac:dyDescent="0.25">
      <c r="B818">
        <v>45716</v>
      </c>
      <c r="C818" t="str">
        <v>Directer Catalina</v>
      </c>
      <c r="D818">
        <v>73</v>
      </c>
      <c r="E818" t="str">
        <v xml:space="preserve">URANGA </v>
      </c>
      <c r="F818" t="str">
        <v>Fx de humero</v>
      </c>
      <c r="G818" t="str">
        <v>clavo endomedular de humero</v>
      </c>
      <c r="H818">
        <v>0</v>
      </c>
      <c r="I818" t="str">
        <v>ACEPTADO</v>
      </c>
      <c r="J818" t="str">
        <v>PARANÁ</v>
      </c>
      <c r="K818" t="str">
        <v>PAMI</v>
      </c>
      <c r="L818">
        <v>0</v>
      </c>
    </row>
    <row r="819" spans="2:12" x14ac:dyDescent="0.25">
      <c r="B819">
        <v>45721</v>
      </c>
      <c r="C819" t="str">
        <v>Franco Juana</v>
      </c>
      <c r="D819">
        <v>0</v>
      </c>
      <c r="E819" t="str">
        <v>garabentos</v>
      </c>
      <c r="F819" t="str">
        <v>Fx de muñeca</v>
      </c>
      <c r="G819" t="str">
        <v>placa edr doble hilera distal bloqueada 3,5 mm</v>
      </c>
      <c r="H819">
        <v>0</v>
      </c>
      <c r="I819" t="str">
        <v>ACEPTADO</v>
      </c>
      <c r="J819" t="str">
        <v>PARANÁ</v>
      </c>
      <c r="K819" t="str">
        <v>PAMI</v>
      </c>
      <c r="L819">
        <v>0</v>
      </c>
    </row>
    <row r="820" spans="2:12" x14ac:dyDescent="0.25">
      <c r="B820">
        <v>45721</v>
      </c>
      <c r="C820" t="str">
        <v>Gauna Ramona</v>
      </c>
      <c r="D820">
        <v>0</v>
      </c>
      <c r="E820" t="str">
        <v>garabentos</v>
      </c>
      <c r="F820" t="str">
        <v>Fx de cadera</v>
      </c>
      <c r="G820" t="str">
        <v xml:space="preserve">PTC CEMENTADA COTILO DOBLE MOVILIDAD </v>
      </c>
      <c r="H820">
        <v>0</v>
      </c>
      <c r="I820" t="str">
        <v>ACEPTADO</v>
      </c>
      <c r="J820" t="str">
        <v>PARANÁ</v>
      </c>
      <c r="K820" t="str">
        <v>PAMI</v>
      </c>
      <c r="L820">
        <v>0</v>
      </c>
    </row>
    <row r="821" spans="2:12" x14ac:dyDescent="0.25">
      <c r="B821">
        <v>45722</v>
      </c>
      <c r="C821" t="str">
        <v>Giacomini Ruben</v>
      </c>
      <c r="D821">
        <v>0</v>
      </c>
      <c r="E821" t="str">
        <v>YACOMO</v>
      </c>
      <c r="F821" t="str">
        <v>rtr</v>
      </c>
      <c r="G821" t="str">
        <v>gonartrosis</v>
      </c>
      <c r="H821">
        <v>0</v>
      </c>
      <c r="I821" t="str">
        <v>ACEPTADO</v>
      </c>
      <c r="J821" t="str">
        <v>PARANÁ</v>
      </c>
      <c r="K821" t="str">
        <v>PAMI</v>
      </c>
      <c r="L821">
        <v>0</v>
      </c>
    </row>
    <row r="822" spans="2:12" x14ac:dyDescent="0.25">
      <c r="B822">
        <v>45723</v>
      </c>
      <c r="C822" t="str">
        <v>Rodriguez Leo</v>
      </c>
      <c r="D822">
        <v>24</v>
      </c>
      <c r="E822" t="str">
        <v>GARCIA VITOR</v>
      </c>
      <c r="F822" t="str">
        <v>fx femur</v>
      </c>
      <c r="G822" t="str">
        <v>3 cabezas de banco de femur</v>
      </c>
      <c r="H822">
        <v>0</v>
      </c>
      <c r="I822" t="str">
        <v>ACEPTADO</v>
      </c>
      <c r="J822" t="str">
        <v>Gualeguay</v>
      </c>
      <c r="K822" t="str">
        <v>S/M</v>
      </c>
      <c r="L822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TextBox1">
          <controlPr defaultSize="0" autoLine="0" linkedCell="B1" r:id="rId4">
            <anchor moveWithCells="1">
              <from>
                <xdr:col>0</xdr:col>
                <xdr:colOff>752475</xdr:colOff>
                <xdr:row>0</xdr:row>
                <xdr:rowOff>9525</xdr:rowOff>
              </from>
              <to>
                <xdr:col>2</xdr:col>
                <xdr:colOff>0</xdr:colOff>
                <xdr:row>1</xdr:row>
                <xdr:rowOff>9525</xdr:rowOff>
              </to>
            </anchor>
          </controlPr>
        </control>
      </mc:Choice>
      <mc:Fallback>
        <control shapeId="4097" r:id="rId3" name="Text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7FD61-58C7-41B0-8400-CF20664AF01A}">
  <sheetPr codeName="Hoja3">
    <tabColor rgb="FF00B050"/>
  </sheetPr>
  <dimension ref="A20:E27"/>
  <sheetViews>
    <sheetView zoomScaleNormal="100" workbookViewId="0">
      <selection activeCell="H15" sqref="H15"/>
    </sheetView>
  </sheetViews>
  <sheetFormatPr baseColWidth="10" defaultRowHeight="15" x14ac:dyDescent="0.25"/>
  <cols>
    <col min="1" max="1" width="19.140625" style="17" bestFit="1" customWidth="1"/>
    <col min="2" max="2" width="22.42578125" style="17" bestFit="1" customWidth="1"/>
    <col min="3" max="3" width="12.5703125" style="17" bestFit="1" customWidth="1"/>
    <col min="4" max="4" width="6.85546875" style="17" bestFit="1" customWidth="1"/>
    <col min="5" max="8" width="12.5703125" style="17" bestFit="1" customWidth="1"/>
    <col min="9" max="9" width="5.140625" style="17" bestFit="1" customWidth="1"/>
    <col min="10" max="10" width="4.28515625" style="17" bestFit="1" customWidth="1"/>
    <col min="11" max="11" width="3.85546875" style="17" bestFit="1" customWidth="1"/>
    <col min="12" max="12" width="4.28515625" style="17" bestFit="1" customWidth="1"/>
    <col min="13" max="13" width="11" style="17" bestFit="1" customWidth="1"/>
    <col min="14" max="14" width="12.5703125" style="17" bestFit="1" customWidth="1"/>
    <col min="15" max="15" width="19.140625" style="17" bestFit="1" customWidth="1"/>
    <col min="16" max="16" width="22.42578125" style="17" bestFit="1" customWidth="1"/>
    <col min="17" max="18" width="6.85546875" style="17" bestFit="1" customWidth="1"/>
    <col min="19" max="19" width="12.5703125" style="17" bestFit="1" customWidth="1"/>
    <col min="20" max="807" width="29.5703125" style="17" bestFit="1" customWidth="1"/>
    <col min="808" max="808" width="12.5703125" style="17" bestFit="1" customWidth="1"/>
    <col min="809" max="16384" width="11.42578125" style="17"/>
  </cols>
  <sheetData>
    <row r="20" spans="1:5" x14ac:dyDescent="0.25">
      <c r="A20" s="17" t="s">
        <v>1677</v>
      </c>
      <c r="B20" s="17" t="s">
        <v>1676</v>
      </c>
      <c r="D20"/>
      <c r="E20"/>
    </row>
    <row r="21" spans="1:5" x14ac:dyDescent="0.25">
      <c r="B21" s="17" t="s">
        <v>1683</v>
      </c>
      <c r="C21" s="17" t="s">
        <v>1675</v>
      </c>
      <c r="D21"/>
      <c r="E21"/>
    </row>
    <row r="22" spans="1:5" x14ac:dyDescent="0.25">
      <c r="A22" s="17" t="s">
        <v>1674</v>
      </c>
      <c r="D22"/>
      <c r="E22"/>
    </row>
    <row r="23" spans="1:5" x14ac:dyDescent="0.25">
      <c r="A23" s="18" t="s">
        <v>9</v>
      </c>
      <c r="B23" s="19">
        <v>1</v>
      </c>
      <c r="C23" s="19">
        <v>1</v>
      </c>
      <c r="D23"/>
      <c r="E23"/>
    </row>
    <row r="24" spans="1:5" x14ac:dyDescent="0.25">
      <c r="A24" s="18" t="s">
        <v>24</v>
      </c>
      <c r="B24" s="19">
        <v>1</v>
      </c>
      <c r="C24" s="19">
        <v>1</v>
      </c>
      <c r="D24"/>
      <c r="E24"/>
    </row>
    <row r="25" spans="1:5" x14ac:dyDescent="0.25">
      <c r="A25" s="18" t="s">
        <v>1675</v>
      </c>
      <c r="B25" s="19">
        <v>2</v>
      </c>
      <c r="C25" s="19">
        <v>2</v>
      </c>
      <c r="D25"/>
      <c r="E25"/>
    </row>
    <row r="26" spans="1:5" x14ac:dyDescent="0.25">
      <c r="A26"/>
      <c r="B26"/>
      <c r="C26"/>
      <c r="D26"/>
      <c r="E26"/>
    </row>
    <row r="27" spans="1:5" x14ac:dyDescent="0.25">
      <c r="A27"/>
      <c r="B27"/>
      <c r="C27"/>
      <c r="D27"/>
      <c r="E27"/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Entrada</vt:lpstr>
      <vt:lpstr>Pacientes</vt:lpstr>
      <vt:lpstr>Filtro Material</vt:lpstr>
      <vt:lpstr>Obra Social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 Flores</dc:creator>
  <cp:lastModifiedBy>Luciano Flores</cp:lastModifiedBy>
  <cp:lastPrinted>2024-11-29T12:38:33Z</cp:lastPrinted>
  <dcterms:created xsi:type="dcterms:W3CDTF">2023-02-12T19:01:17Z</dcterms:created>
  <dcterms:modified xsi:type="dcterms:W3CDTF">2025-06-27T22:05:37Z</dcterms:modified>
</cp:coreProperties>
</file>